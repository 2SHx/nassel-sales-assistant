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إرشادات" sheetId="1" r:id="rId4"/>
    <sheet state="visible" name="النموذج" sheetId="2" r:id="rId5"/>
    <sheet state="visible" name="المشاريع" sheetId="3" r:id="rId6"/>
    <sheet state="visible" name="Export - Projects" sheetId="4" r:id="rId7"/>
    <sheet state="visible" name="الوحدات" sheetId="5" r:id="rId8"/>
    <sheet state="visible" name=" سوامد" sheetId="6" r:id="rId9"/>
    <sheet state="visible" name="تنال - الرمال" sheetId="7" r:id="rId10"/>
    <sheet state="visible" name="ترف - الرمال" sheetId="8" r:id="rId11"/>
    <sheet state="visible" name="سهم الروضة" sheetId="9" r:id="rId12"/>
    <sheet state="visible" name="درة الصفاء" sheetId="10" r:id="rId13"/>
    <sheet state="visible" name="السلام ريزيدنس" sheetId="11" r:id="rId14"/>
    <sheet state="visible" name="المجالات 79" sheetId="12" r:id="rId15"/>
    <sheet state="visible" name="ألين 106" sheetId="13" r:id="rId16"/>
    <sheet state="visible" name="ألين - 108" sheetId="14" r:id="rId17"/>
    <sheet state="visible" name="ألين - 120" sheetId="15" r:id="rId18"/>
    <sheet state="visible" name="آين - 21" sheetId="16" r:id="rId19"/>
    <sheet state="visible" name="سيرين" sheetId="17" r:id="rId20"/>
    <sheet state="visible" name="الحبيب" sheetId="18" r:id="rId21"/>
    <sheet state="visible" name="المجالات 80" sheetId="19" r:id="rId22"/>
    <sheet state="visible" name="برج الخالدية" sheetId="20" r:id="rId23"/>
  </sheets>
  <definedNames>
    <definedName hidden="1" localSheetId="3" name="_xlnm._FilterDatabase">'Export - Projects'!$A$1:$BC$34</definedName>
    <definedName hidden="1" localSheetId="4" name="_xlnm._FilterDatabase">'الوحدات'!$A$1:$AD$299</definedName>
  </definedNames>
  <calcPr/>
</workbook>
</file>

<file path=xl/sharedStrings.xml><?xml version="1.0" encoding="utf-8"?>
<sst xmlns="http://schemas.openxmlformats.org/spreadsheetml/2006/main" count="8436" uniqueCount="464">
  <si>
    <t>إرشادات إدخال الوحدات والمشاريع</t>
  </si>
  <si>
    <t xml:space="preserve">1- اضغط على ورقة النموذج ثم انسخها </t>
  </si>
  <si>
    <t>2- اضف بيانات الوحدات الى الورقة المنسوخة</t>
  </si>
  <si>
    <t>3- غير اسم الورقة الى اسم المشروع</t>
  </si>
  <si>
    <t>4- اضف بيانات المشروع الى ورقة المشاريع</t>
  </si>
  <si>
    <t>معرف المشروع</t>
  </si>
  <si>
    <t>كود المشروع</t>
  </si>
  <si>
    <t>المالك</t>
  </si>
  <si>
    <t>رقم المشروع</t>
  </si>
  <si>
    <t>رقم الوحدة فالمشروع</t>
  </si>
  <si>
    <t>كود نوع الوحدة</t>
  </si>
  <si>
    <t>كود الوحدة</t>
  </si>
  <si>
    <t>المشروع</t>
  </si>
  <si>
    <t>نموذج الوحدة</t>
  </si>
  <si>
    <t>نوع الوحدة</t>
  </si>
  <si>
    <t>مساحة الوحدة</t>
  </si>
  <si>
    <t>إجمالي السعر</t>
  </si>
  <si>
    <t>حالة الوحدة</t>
  </si>
  <si>
    <t>غرف النوم</t>
  </si>
  <si>
    <t>عدد الحمامات</t>
  </si>
  <si>
    <t>مكونات الوحدة</t>
  </si>
  <si>
    <t>مساحة الفناء</t>
  </si>
  <si>
    <t>حالة المصعد</t>
  </si>
  <si>
    <t>الطابق</t>
  </si>
  <si>
    <t>رقم العمارة</t>
  </si>
  <si>
    <t>مساحة الصك</t>
  </si>
  <si>
    <t>موعد إفتتاح المشروع</t>
  </si>
  <si>
    <t>مزايا</t>
  </si>
  <si>
    <t>رابط الموقع</t>
  </si>
  <si>
    <t>الدولة</t>
  </si>
  <si>
    <t>المدينة</t>
  </si>
  <si>
    <t>الحي</t>
  </si>
  <si>
    <t>الواجهة</t>
  </si>
  <si>
    <t>بروشور المشروع</t>
  </si>
  <si>
    <t>بروشور الوحدة</t>
  </si>
  <si>
    <t>-</t>
  </si>
  <si>
    <t>حالة المشروع</t>
  </si>
  <si>
    <t>نوع المشروع</t>
  </si>
  <si>
    <t>انواع الوحدات</t>
  </si>
  <si>
    <t>الموقع</t>
  </si>
  <si>
    <t>الإتجاه</t>
  </si>
  <si>
    <t>فيديوهات المشروع</t>
  </si>
  <si>
    <t>صور المشروع</t>
  </si>
  <si>
    <t>المرافق</t>
  </si>
  <si>
    <t>عدد الوحدات</t>
  </si>
  <si>
    <t>عدد الوحدات المتاحة</t>
  </si>
  <si>
    <t>عدد الوحدات تحت الإنشاء</t>
  </si>
  <si>
    <t>عدد الوحدات المحجوزة</t>
  </si>
  <si>
    <t>عدد الوحدات المباعة</t>
  </si>
  <si>
    <t>متوسط قيمة الوحدة</t>
  </si>
  <si>
    <t>متوسط قيمة الوحدات المتاحة</t>
  </si>
  <si>
    <t>إجمالي قيمة المشروع</t>
  </si>
  <si>
    <t>نسبة بيع المشروع</t>
  </si>
  <si>
    <t>إجمالي قيمة تحت الإنشاء</t>
  </si>
  <si>
    <t>إجمالي قيمة المتاح</t>
  </si>
  <si>
    <t>إجمالي قيمة المحجوز</t>
  </si>
  <si>
    <t>إجمالي قيمة المباع</t>
  </si>
  <si>
    <t>السعر الأدنى</t>
  </si>
  <si>
    <t>السعر الأدنى المتاح</t>
  </si>
  <si>
    <t>السعر الأقصى</t>
  </si>
  <si>
    <t>السعر الأقصى المتاح</t>
  </si>
  <si>
    <t>نطاق السعر</t>
  </si>
  <si>
    <t>نطاق السعر المتاح</t>
  </si>
  <si>
    <t>المساحة الأدنى</t>
  </si>
  <si>
    <t>المساحة الأدنى المتاحة</t>
  </si>
  <si>
    <t>المساحة الأقصى</t>
  </si>
  <si>
    <t>المساحة الأقصى المتاحة</t>
  </si>
  <si>
    <t>نطاق المساحة</t>
  </si>
  <si>
    <t>نطاق المساحة المتاحة</t>
  </si>
  <si>
    <t>عدد ادنى غرف نوم</t>
  </si>
  <si>
    <t>عدد ادنى غرف نوم المتاحة</t>
  </si>
  <si>
    <t>عدد اقصى غرف نوم</t>
  </si>
  <si>
    <t>عدد اقصى غرف نوم متاحة</t>
  </si>
  <si>
    <t>نطاق غرف النوم</t>
  </si>
  <si>
    <t>نطاق غرف النوم المتاحة</t>
  </si>
  <si>
    <t xml:space="preserve">عدد ادنى حمامات </t>
  </si>
  <si>
    <t>عدد ادنى حمامات متاحة</t>
  </si>
  <si>
    <t>عدد اقصى حمامات</t>
  </si>
  <si>
    <t>عدد اقصى حمامات متاحة</t>
  </si>
  <si>
    <t>نطاق الحمامات</t>
  </si>
  <si>
    <t>نطاق الحمامات المتاحة</t>
  </si>
  <si>
    <t>TAN</t>
  </si>
  <si>
    <t>تنال</t>
  </si>
  <si>
    <t>تنال - الرمال</t>
  </si>
  <si>
    <t>https://maps.app.goo.gl/VQzCjvzJ9MfCPR7U9</t>
  </si>
  <si>
    <t>شمال</t>
  </si>
  <si>
    <t>المملكة العربية السعودية</t>
  </si>
  <si>
    <t>الرياض</t>
  </si>
  <si>
    <t>الرمال</t>
  </si>
  <si>
    <t>صالة جلوس, مجلس</t>
  </si>
  <si>
    <t>TAR</t>
  </si>
  <si>
    <t>ترف</t>
  </si>
  <si>
    <t>ترف - الرمال</t>
  </si>
  <si>
    <t>https://maps.app.goo.gl/HbNqmyyW7a6zVxRs7?g_st=ipc</t>
  </si>
  <si>
    <t>SAH</t>
  </si>
  <si>
    <t>سهم</t>
  </si>
  <si>
    <t>سهم الروضة</t>
  </si>
  <si>
    <t>https://maps.app.goo.gl/oLz5KTAHqTimZF2T9</t>
  </si>
  <si>
    <t>شرق</t>
  </si>
  <si>
    <t>الروضة</t>
  </si>
  <si>
    <t>رداح - ادوار حي الروضة</t>
  </si>
  <si>
    <t>DUR</t>
  </si>
  <si>
    <t>درة الصفاء</t>
  </si>
  <si>
    <t>https://maps.app.goo.gl/qsJppfPit9RN8sY98</t>
  </si>
  <si>
    <t>الصفاء</t>
  </si>
  <si>
    <t>رداح - درة الصفاء</t>
  </si>
  <si>
    <t>SAL</t>
  </si>
  <si>
    <t>السلام ريزدنس</t>
  </si>
  <si>
    <t>https://maps.app.goo.gl/CMxaMUfvXSi6TrNt5</t>
  </si>
  <si>
    <t>السلام</t>
  </si>
  <si>
    <t xml:space="preserve">رداح - السلام ريزيدنس </t>
  </si>
  <si>
    <t>MAJ79</t>
  </si>
  <si>
    <t>المجالات</t>
  </si>
  <si>
    <t>المجالات - 79</t>
  </si>
  <si>
    <t>https://maps.app.goo.gl/irPzaUaLrvcgyAu49</t>
  </si>
  <si>
    <t>الصحافة</t>
  </si>
  <si>
    <t>صالة جلوس, مجلس, غرفة سائق</t>
  </si>
  <si>
    <t>ALN106</t>
  </si>
  <si>
    <t>ألين</t>
  </si>
  <si>
    <t>ألين - 106</t>
  </si>
  <si>
    <t>https://maps.app.goo.gl/y4PPVtti2qfr3m8z9</t>
  </si>
  <si>
    <t>رداح - ألين - الروضة 106</t>
  </si>
  <si>
    <t>مجلس, صالة طعام, غرفة خادمة, بلكونة</t>
  </si>
  <si>
    <t>ALN108</t>
  </si>
  <si>
    <t>ألين - 108</t>
  </si>
  <si>
    <t>https://maps.app.goo.gl/Zv5gYWbaA7QQA23C7</t>
  </si>
  <si>
    <t>الملز</t>
  </si>
  <si>
    <t>رداح - ألين - الملز 108</t>
  </si>
  <si>
    <t>مجلس, صالة طعام, غرفة خادمة, بلكونة, فناء خارجي, غرفة خدمات, غرفة غسيل, صالة جلوس</t>
  </si>
  <si>
    <t>ALN120</t>
  </si>
  <si>
    <t>ألين - 120</t>
  </si>
  <si>
    <t>https://maps.app.goo.gl/v3gDHhxP3SsNPscp7</t>
  </si>
  <si>
    <t>المحمدية</t>
  </si>
  <si>
    <t>رداح - ألين - المحمدية 120</t>
  </si>
  <si>
    <t>غرفة خدمات, صالة جلوس, فناء خارجي, بلكونة</t>
  </si>
  <si>
    <t>AIN21</t>
  </si>
  <si>
    <t>ميسان</t>
  </si>
  <si>
    <t>آين</t>
  </si>
  <si>
    <t>https://goo.gl/maps/fbK93s6v1kVooZMVA</t>
  </si>
  <si>
    <t>الحمراء</t>
  </si>
  <si>
    <t>SER</t>
  </si>
  <si>
    <t>يمامة</t>
  </si>
  <si>
    <t>سيرين</t>
  </si>
  <si>
    <t>https://maps.app.goo.gl/5yYbPMnuG8Xk46Kf8?g_st=ipc</t>
  </si>
  <si>
    <t>الصفا</t>
  </si>
  <si>
    <t>غرفة سائق, غرفة خادمة, غرفة غسيل, صالة طعام, غرفة خدمات, صالة جلوس, مجلس</t>
  </si>
  <si>
    <t>HBS</t>
  </si>
  <si>
    <t>الحبيب</t>
  </si>
  <si>
    <t>MAJ80</t>
  </si>
  <si>
    <t>المجالات - 80</t>
  </si>
  <si>
    <t>https://maps.app.goo.gl/KhDLpCiJxxoQ1rnf8</t>
  </si>
  <si>
    <t>النرجس</t>
  </si>
  <si>
    <t>صالة جلوس, مجلس, صالة طعام, فناء خارجي, بلكونة</t>
  </si>
  <si>
    <t>ALN88</t>
  </si>
  <si>
    <t>https://maps.app.goo.gl/s9q4cMjhhMpxySdb9</t>
  </si>
  <si>
    <t>الازدهار</t>
  </si>
  <si>
    <t>https://aleen.cc/Upload/88/details.pdf</t>
  </si>
  <si>
    <t>ALN102</t>
  </si>
  <si>
    <t>https://www.google.com/maps/place/24%C2%B046'18.9%22N+46%C2%B037'56.3%22E/@24.7719167,46.6323056,1376m/data=!3m2!1e3!4b1!4m4!3m3!8m2!3d24.7719167!4d46.6323056!5m1!1e1?authuser=0&amp;entry=tts&amp;g_ep=EgoyMDI1MDYyMy4yIPu8ASoASAFQAw%3D%3D&amp;skid=06f74f57-7ddc-40a6-9eae-6803a2eeab30</t>
  </si>
  <si>
    <t>العقيق</t>
  </si>
  <si>
    <t>https://aleen.cc/Upload/102/details.pdf</t>
  </si>
  <si>
    <t>ALN104</t>
  </si>
  <si>
    <t>https://maps.app.goo.gl/vztQFdMWUJ729zNeA</t>
  </si>
  <si>
    <t>المغرزات</t>
  </si>
  <si>
    <t>https://aleen.cc/Upload/104/details.pdf</t>
  </si>
  <si>
    <t>ALN112</t>
  </si>
  <si>
    <t>https://maps.app.goo.gl/chehxACrY7pjZYJM7</t>
  </si>
  <si>
    <t>الفلاح</t>
  </si>
  <si>
    <t>https://aleen.cc/Upload/112/details.pdf</t>
  </si>
  <si>
    <t>ALN122</t>
  </si>
  <si>
    <t>30/2/2026</t>
  </si>
  <si>
    <t>https://maps.app.goo.gl/vBnbYV9NfLEoANbi9</t>
  </si>
  <si>
    <t>الغدير</t>
  </si>
  <si>
    <t>https://aleen.cc/Upload/122/details.pdf</t>
  </si>
  <si>
    <t>ALN126</t>
  </si>
  <si>
    <t>https://maps.app.goo.gl/u3xuGx2EjkDGJ3fz8</t>
  </si>
  <si>
    <t>التعاون</t>
  </si>
  <si>
    <t>https://aleen.cc/Upload/126/details.pdf</t>
  </si>
  <si>
    <t>ALN130</t>
  </si>
  <si>
    <t>https://maps.app.goo.gl/pg9DFJuaWSKCwKzV6</t>
  </si>
  <si>
    <t>حطين</t>
  </si>
  <si>
    <t>https://aleen.cc/Upload/130/details.pdf</t>
  </si>
  <si>
    <t>ALN138</t>
  </si>
  <si>
    <t>https://maps.app.goo.gl/v2sgcJPvGZ6JhYBG6</t>
  </si>
  <si>
    <t>القيروان</t>
  </si>
  <si>
    <t>https://aleen.cc/Upload/138/details.pdf</t>
  </si>
  <si>
    <t>ALN27</t>
  </si>
  <si>
    <t>https://maps.app.goo.gl/JhhefWq7P9bUUjvZ6</t>
  </si>
  <si>
    <t>https://aleen.cc/Upload/27/details.pdf</t>
  </si>
  <si>
    <t>ALN98</t>
  </si>
  <si>
    <t>https://maps.app.goo.gl/cP1o1L4xNxf3GKJo6</t>
  </si>
  <si>
    <t>https://aleen.cc/Upload/98/details.pdf</t>
  </si>
  <si>
    <t>ALN114</t>
  </si>
  <si>
    <t>https://maps.app.goo.gl/g331g3VUhP43BJKq9</t>
  </si>
  <si>
    <t>https://aleen.cc/Upload/114/details.pdf</t>
  </si>
  <si>
    <t>ALN116</t>
  </si>
  <si>
    <t>https://maps.app.goo.gl/aPzeBprVj13cSdA58</t>
  </si>
  <si>
    <t>المنار</t>
  </si>
  <si>
    <t>https://aleen.cc/Upload/116/details.pdf</t>
  </si>
  <si>
    <t>ALN118</t>
  </si>
  <si>
    <t>https://aleen.cc/Upload/118/details.pdf</t>
  </si>
  <si>
    <t>ALN124</t>
  </si>
  <si>
    <t>https://maps.app.goo.gl/PdT3Tj4Dvk8kKpTv5</t>
  </si>
  <si>
    <t>المرسلات</t>
  </si>
  <si>
    <t>https://aleen.cc/Upload/124/details.pdf</t>
  </si>
  <si>
    <t>ALN128</t>
  </si>
  <si>
    <t>https://maps.app.goo.gl/GZQdygQz2buAmz2a6</t>
  </si>
  <si>
    <t>الروابي</t>
  </si>
  <si>
    <t>https://aleen.cc/Upload/128/details.pdf</t>
  </si>
  <si>
    <t>ALN132</t>
  </si>
  <si>
    <t>https://maps.app.goo.gl/KN2rYWyKvWxME9sV8</t>
  </si>
  <si>
    <t>https://aleen.cc/Upload/132/details.pdf</t>
  </si>
  <si>
    <t>ALN136</t>
  </si>
  <si>
    <t>https://maps.app.goo.gl/b9UZzChGqqS28ubV8</t>
  </si>
  <si>
    <t>الربوة</t>
  </si>
  <si>
    <t>https://aleen.cc/Upload/136/details.pdf</t>
  </si>
  <si>
    <t>ALN140</t>
  </si>
  <si>
    <t>https://maps.app.goo.gl/PQG99pCQhSiA7Gwo9</t>
  </si>
  <si>
    <t>https://aleen.cc/Upload/140/details.pdf</t>
  </si>
  <si>
    <t>ALN156</t>
  </si>
  <si>
    <t>https://maps.app.goo.gl/UDj1zhtU5gP7FZt16</t>
  </si>
  <si>
    <t>جرير</t>
  </si>
  <si>
    <t>https://aleen.cc/Upload/156/details.pdf</t>
  </si>
  <si>
    <t>SMD</t>
  </si>
  <si>
    <t xml:space="preserve"> سوامد</t>
  </si>
  <si>
    <t>سوامد</t>
  </si>
  <si>
    <t>https://maps.app.goo.gl/wx1wwEgFLzYgdNxr6</t>
  </si>
  <si>
    <t>صالة جلوس, مجلس, فناء خارجي, غرفة خدمات, مطبخ, صالة طعام</t>
  </si>
  <si>
    <t>KAL1</t>
  </si>
  <si>
    <t>الخالدية</t>
  </si>
  <si>
    <t>برج الخالدية</t>
  </si>
  <si>
    <t>https://maps.app.goo.gl/qdVJ5JZA2bqzGZVr6</t>
  </si>
  <si>
    <t>جنوب</t>
  </si>
  <si>
    <t>المربع</t>
  </si>
  <si>
    <t>https://drive.google.com/file/d/1WojWh2utWfc6vYtmvB9d7_qan2ndQ3ot/view?usp=drive_link</t>
  </si>
  <si>
    <t>صالة جلوس, مطبخ, صالة طعام</t>
  </si>
  <si>
    <t>Project EId</t>
  </si>
  <si>
    <t>Project Code</t>
  </si>
  <si>
    <t>Project Owner</t>
  </si>
  <si>
    <t>Project Number</t>
  </si>
  <si>
    <t>Project Name</t>
  </si>
  <si>
    <t>Project Status</t>
  </si>
  <si>
    <t>Project Type</t>
  </si>
  <si>
    <t xml:space="preserve">Units Types
</t>
  </si>
  <si>
    <t>Project Opening Date</t>
  </si>
  <si>
    <t>Project Location - Maps</t>
  </si>
  <si>
    <t>Direction</t>
  </si>
  <si>
    <t xml:space="preserve">Country </t>
  </si>
  <si>
    <t>City</t>
  </si>
  <si>
    <t xml:space="preserve">District </t>
  </si>
  <si>
    <t>Project Brochure Link</t>
  </si>
  <si>
    <t>Project Video Link</t>
  </si>
  <si>
    <t>Project Images</t>
  </si>
  <si>
    <t xml:space="preserve">Project Components </t>
  </si>
  <si>
    <t>Units Count</t>
  </si>
  <si>
    <t>Available Units Count</t>
  </si>
  <si>
    <t>Under Construction Units Count</t>
  </si>
  <si>
    <t>Reserved Units Count</t>
  </si>
  <si>
    <t>Sold Units Count</t>
  </si>
  <si>
    <t>Average Unit Value</t>
  </si>
  <si>
    <t>ِAverage Available Unit Value</t>
  </si>
  <si>
    <t>Total Project Value</t>
  </si>
  <si>
    <t>Project Sales Percentage%</t>
  </si>
  <si>
    <t>Under Construction Value</t>
  </si>
  <si>
    <t>Available Units Value</t>
  </si>
  <si>
    <t>Reserved Units Value</t>
  </si>
  <si>
    <t>Sold Units Value</t>
  </si>
  <si>
    <t>Minimum Price</t>
  </si>
  <si>
    <t xml:space="preserve">Available Minimum Price </t>
  </si>
  <si>
    <t>Maximum Price</t>
  </si>
  <si>
    <t>Available Maximum Price</t>
  </si>
  <si>
    <t>Price Range</t>
  </si>
  <si>
    <t>Available Price Range</t>
  </si>
  <si>
    <t>Minimum Area</t>
  </si>
  <si>
    <t>Available Minimum Area</t>
  </si>
  <si>
    <t>Maximum Area</t>
  </si>
  <si>
    <t>Available Maximum Area</t>
  </si>
  <si>
    <t>Area Range</t>
  </si>
  <si>
    <t>Available Area Range</t>
  </si>
  <si>
    <t>Min Sleeping Rooms</t>
  </si>
  <si>
    <t>Available Min Sleeping Rooms</t>
  </si>
  <si>
    <t>Max Sleeping Rooms</t>
  </si>
  <si>
    <t>Available Max Sleeping Rooms</t>
  </si>
  <si>
    <t>Bedrooms Range</t>
  </si>
  <si>
    <t>Available Bedrooms Range</t>
  </si>
  <si>
    <t xml:space="preserve"> Min Bathrooms</t>
  </si>
  <si>
    <t>Available Min Bathrooms</t>
  </si>
  <si>
    <t>Max Bathrooms</t>
  </si>
  <si>
    <t>Available Max Bathrooms</t>
  </si>
  <si>
    <t>Bathrooms Range</t>
  </si>
  <si>
    <t>Available Bathrooms Range</t>
  </si>
  <si>
    <t>اسم المشروع</t>
  </si>
  <si>
    <t>1</t>
  </si>
  <si>
    <t>تنال  - الرمال</t>
  </si>
  <si>
    <t>A</t>
  </si>
  <si>
    <t>دور</t>
  </si>
  <si>
    <t>متاحة</t>
  </si>
  <si>
    <t>مؤسس</t>
  </si>
  <si>
    <t>ارضي</t>
  </si>
  <si>
    <t>2</t>
  </si>
  <si>
    <t>3</t>
  </si>
  <si>
    <t>شقة</t>
  </si>
  <si>
    <t>4</t>
  </si>
  <si>
    <t>B</t>
  </si>
  <si>
    <t>5</t>
  </si>
  <si>
    <t>6</t>
  </si>
  <si>
    <t>مباعة</t>
  </si>
  <si>
    <t>جاهز</t>
  </si>
  <si>
    <t>اول</t>
  </si>
  <si>
    <t xml:space="preserve">سهم  </t>
  </si>
  <si>
    <t/>
  </si>
  <si>
    <t>https://drive.google.com/file/d/1Xo0SvTtoIp6kEkDIlHzR9HH5U9E6AULL/view?usp=sharing</t>
  </si>
  <si>
    <t>محجوزة</t>
  </si>
  <si>
    <t>فيلا</t>
  </si>
  <si>
    <t>لا يوجد</t>
  </si>
  <si>
    <t>https://drive.google.com/file/d/1sTQUnb6NbxtZZujbgrTPR80Ha-yaOD9T/view?usp=sharing</t>
  </si>
  <si>
    <t>https://drive.google.com/file/d/1TWuNkH_PzooMLu-YP3SnGlduJM0XsAUQ/view?usp=sharing</t>
  </si>
  <si>
    <t>C</t>
  </si>
  <si>
    <t>ثاني</t>
  </si>
  <si>
    <t>D</t>
  </si>
  <si>
    <t>ثالث</t>
  </si>
  <si>
    <t>G</t>
  </si>
  <si>
    <t>تحت الإنشاء</t>
  </si>
  <si>
    <t>زاوية</t>
  </si>
  <si>
    <t>https://drive.google.com/file/d/1evP5tdtznuqptNbtqmT2afQspZTbeKhA/view?usp=sharing</t>
  </si>
  <si>
    <t>https://aleen.cc/Upload/106/A-02.pdf</t>
  </si>
  <si>
    <t>https://aleen.cc/Upload/106/B-02.pdf</t>
  </si>
  <si>
    <t>فناء خارجي, مجلس, صالة جلوس, غرفة خدمات</t>
  </si>
  <si>
    <t>https://drive.google.com/file/d/1My-Ev1ZRdnJyzLjGvMwv5mOtdigf5Gk9/view?usp=sharing</t>
  </si>
  <si>
    <t>https://aleen.cc/Upload/108/A-01.pdf</t>
  </si>
  <si>
    <t>غرفة خادمة, غرفة خدمات, صالة جلوس, فناء خارجي</t>
  </si>
  <si>
    <t>https://aleen.cc/Upload/108/A-02.pdf</t>
  </si>
  <si>
    <t>مجلس, صالة جلوس, غرفة خدمات, فناء خارجي</t>
  </si>
  <si>
    <t>https://aleen.cc/Upload/108/B-01.pdf</t>
  </si>
  <si>
    <t>صالة جلوس, غرفة خادمة, غرفة خدمات, غرفة غسيل, بلكونة</t>
  </si>
  <si>
    <t>https://aleen.cc/Upload/108/B-02.pdf</t>
  </si>
  <si>
    <t>صالة جلوس, غرفة خدمات, غرفة خادمة, فناء خارجي</t>
  </si>
  <si>
    <t>https://aleen.cc/Upload/108/C-01.pdf</t>
  </si>
  <si>
    <t>صالة جلوس, غرفة خادمة, غرفة خدمات, فناء خارجي</t>
  </si>
  <si>
    <t>https://aleen.cc/Upload/108/C-02.pdf</t>
  </si>
  <si>
    <t>غرفة خدمات, صالة جلوس, فناء خارجي</t>
  </si>
  <si>
    <t>25/12/2025</t>
  </si>
  <si>
    <t>https://drive.google.com/file/d/193nD9209yLCEkuvipRKig80B_3Mc39EB/view?usp=sharing</t>
  </si>
  <si>
    <t>https://aleen.cc/Upload/120/03.pdf</t>
  </si>
  <si>
    <t>غرفة خدمات, صالة جلوس, بلكونة</t>
  </si>
  <si>
    <t>واجهة</t>
  </si>
  <si>
    <t>https://aleen.cc/Upload/120/06.pdf</t>
  </si>
  <si>
    <t>صالة جلوس, بلكونة, غرفة خدمات</t>
  </si>
  <si>
    <t>https://aleen.cc/Upload/120/07.pdf</t>
  </si>
  <si>
    <t>https://aleen.cc/Upload/120/08.pdf</t>
  </si>
  <si>
    <t>صالة جلوس, غرفة خدمات, بلكونة</t>
  </si>
  <si>
    <t>https://aleen.cc/Upload/120/09.pdf</t>
  </si>
  <si>
    <t>https://aleen.cc/Upload/120/12.pdf</t>
  </si>
  <si>
    <t>آين - 21</t>
  </si>
  <si>
    <t>الشمالية</t>
  </si>
  <si>
    <t>الجنوبية</t>
  </si>
  <si>
    <t>تاون هاوس</t>
  </si>
  <si>
    <t>AP</t>
  </si>
  <si>
    <t>صالة جلوس</t>
  </si>
  <si>
    <t>النخيل</t>
  </si>
  <si>
    <t>FL</t>
  </si>
  <si>
    <t>مجلس, صالة جلوس</t>
  </si>
  <si>
    <t>A1</t>
  </si>
  <si>
    <t>مطبخ, صالة جلوس, مجلس, غرفة خدمات</t>
  </si>
  <si>
    <t>السعودية</t>
  </si>
  <si>
    <t>A2</t>
  </si>
  <si>
    <t>مدخلين</t>
  </si>
  <si>
    <t>A3</t>
  </si>
  <si>
    <t>A4</t>
  </si>
  <si>
    <t>موقف قبو</t>
  </si>
  <si>
    <t>امامية</t>
  </si>
  <si>
    <t>A5</t>
  </si>
  <si>
    <t>خلفية</t>
  </si>
  <si>
    <t>A6</t>
  </si>
  <si>
    <t>امامية, خلفية</t>
  </si>
  <si>
    <t>A7</t>
  </si>
  <si>
    <t>A8</t>
  </si>
  <si>
    <t>A9</t>
  </si>
  <si>
    <t>A10</t>
  </si>
  <si>
    <t>مطبخ, صالة جلوس, مجلس, فناء خارجي</t>
  </si>
  <si>
    <t>ملحق</t>
  </si>
  <si>
    <t>سطح خاص, موقف قبو</t>
  </si>
  <si>
    <t>A11</t>
  </si>
  <si>
    <t>مطبخ, صالة جلوس, مجلس</t>
  </si>
  <si>
    <t>B1</t>
  </si>
  <si>
    <t>B2</t>
  </si>
  <si>
    <t>مطبخ, صالة جلوس, مجلس, غرفة خدمات, فناء خارجي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</si>
  <si>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</si>
  <si>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</si>
  <si>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</si>
  <si>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</si>
  <si>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</si>
  <si>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</si>
  <si>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</si>
  <si>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</si>
  <si>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</si>
  <si>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</si>
  <si>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</si>
  <si>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موقف قبو, سطح خاص</t>
  </si>
  <si>
    <t>B14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</si>
  <si>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</si>
  <si>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</si>
  <si>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</si>
  <si>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</si>
  <si>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</si>
  <si>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</si>
  <si>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</si>
  <si>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</si>
  <si>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</si>
  <si>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</si>
  <si>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سطح خاص</t>
  </si>
  <si>
    <t>C11</t>
  </si>
  <si>
    <t>صالة جلوس, صالة طعام, مطبخ</t>
  </si>
  <si>
    <t>خارجية</t>
  </si>
  <si>
    <t>F</t>
  </si>
  <si>
    <t>صالة جلوس, مطبخ</t>
  </si>
  <si>
    <t>داخلية</t>
  </si>
  <si>
    <t>E</t>
  </si>
  <si>
    <t>1099 - A</t>
  </si>
  <si>
    <t>TNR</t>
  </si>
  <si>
    <t>TRR</t>
  </si>
  <si>
    <t>165.39</t>
  </si>
  <si>
    <t>222.6</t>
  </si>
  <si>
    <t>159.56</t>
  </si>
  <si>
    <t>159.57</t>
  </si>
  <si>
    <t>69.98</t>
  </si>
  <si>
    <t>SHR</t>
  </si>
  <si>
    <t>DRS</t>
  </si>
  <si>
    <t>SAR</t>
  </si>
  <si>
    <t>281.83</t>
  </si>
  <si>
    <t>202.60</t>
  </si>
  <si>
    <t>149.10</t>
  </si>
  <si>
    <t>144.59</t>
  </si>
  <si>
    <t>143.37</t>
  </si>
  <si>
    <t>143.25</t>
  </si>
  <si>
    <t>251.78</t>
  </si>
  <si>
    <t>251.66</t>
  </si>
  <si>
    <t>المجالات 79</t>
  </si>
  <si>
    <t>258.55</t>
  </si>
  <si>
    <t>222.81</t>
  </si>
  <si>
    <t>158.14</t>
  </si>
  <si>
    <t>106 - ألين</t>
  </si>
  <si>
    <t>https://aleen.cc/Upload/106/details.pdf</t>
  </si>
  <si>
    <t>108 - ألين</t>
  </si>
  <si>
    <t>https://aleen.cc/Upload/108/details.pdf</t>
  </si>
  <si>
    <t>120 - ألين</t>
  </si>
  <si>
    <t>https://aleen.cc/Upload/120/details.pdf</t>
  </si>
  <si>
    <t>199.69</t>
  </si>
  <si>
    <t>1,555,000</t>
  </si>
  <si>
    <t>188.95</t>
  </si>
  <si>
    <t>1,245,000</t>
  </si>
  <si>
    <t>243.30</t>
  </si>
  <si>
    <t>1,855,000</t>
  </si>
  <si>
    <t>210.54</t>
  </si>
  <si>
    <t>1,595,000</t>
  </si>
  <si>
    <t>188.61</t>
  </si>
  <si>
    <t>1,285,000</t>
  </si>
  <si>
    <t>SRF</t>
  </si>
  <si>
    <t>2,150,000</t>
  </si>
  <si>
    <t>2,390,000</t>
  </si>
  <si>
    <t>2,425,000</t>
  </si>
  <si>
    <t>2,175,000</t>
  </si>
  <si>
    <t>KAL</t>
  </si>
  <si>
    <t>صالة جلوس, صالة طعام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</si>
</sst>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d/m/yyyy"/>
    <numFmt numFmtId="166" formatCode="[$ريال ]#,##0.00"/>
    <numFmt numFmtId="167" formatCode="#,##0.0"/>
    <numFmt numFmtId="168" formatCode="#,##0.000"/>
  </numFmts>
  <fonts count="44">
    <font>
      <sz val="10.0"/>
      <color rgb="FF000000"/>
      <name val="Arial"/>
      <scheme val="minor"/>
    </font>
    <font>
      <b/>
      <sz val="21.0"/>
      <color theme="1"/>
      <name val="Arial"/>
      <scheme val="minor"/>
    </font>
    <font/>
    <font>
      <sz val="16.0"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u/>
      <color rgb="FF1155CC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u/>
      <sz val="10.0"/>
      <color rgb="FF1155CC"/>
      <name val="Arial"/>
    </font>
    <font>
      <sz val="10.0"/>
      <color rgb="FF000000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theme="1"/>
      <name val="Arial"/>
      <scheme val="minor"/>
    </font>
    <font>
      <u/>
      <color rgb="FF1155CC"/>
      <name val="Arial"/>
    </font>
    <font>
      <color rgb="FF000000"/>
      <name val="Arial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3ECD2"/>
        <bgColor rgb="FFF3ECD2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3" fontId="4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shrinkToFit="0" vertical="bottom" wrapText="0"/>
    </xf>
    <xf borderId="4" fillId="0" fontId="5" numFmtId="4" xfId="0" applyAlignment="1" applyBorder="1" applyFont="1" applyNumberFormat="1">
      <alignment horizontal="center" readingOrder="0"/>
    </xf>
    <xf borderId="4" fillId="0" fontId="5" numFmtId="3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 readingOrder="0"/>
    </xf>
    <xf borderId="4" fillId="0" fontId="7" numFmtId="0" xfId="0" applyBorder="1" applyFont="1"/>
    <xf borderId="4" fillId="0" fontId="7" numFmtId="0" xfId="0" applyAlignment="1" applyBorder="1" applyFont="1">
      <alignment readingOrder="0"/>
    </xf>
    <xf borderId="4" fillId="0" fontId="7" numFmtId="164" xfId="0" applyAlignment="1" applyBorder="1" applyFont="1" applyNumberFormat="1">
      <alignment readingOrder="0"/>
    </xf>
    <xf borderId="4" fillId="0" fontId="5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4" fillId="4" fontId="4" numFmtId="0" xfId="0" applyAlignment="1" applyBorder="1" applyFill="1" applyFont="1">
      <alignment horizontal="right" vertical="bottom"/>
    </xf>
    <xf borderId="0" fillId="0" fontId="7" numFmtId="0" xfId="0" applyAlignment="1" applyFont="1">
      <alignment readingOrder="0"/>
    </xf>
    <xf borderId="4" fillId="5" fontId="4" numFmtId="0" xfId="0" applyAlignment="1" applyBorder="1" applyFill="1" applyFont="1">
      <alignment horizontal="center" readingOrder="0"/>
    </xf>
    <xf borderId="4" fillId="6" fontId="4" numFmtId="0" xfId="0" applyAlignment="1" applyBorder="1" applyFill="1" applyFont="1">
      <alignment horizontal="center" readingOrder="0"/>
    </xf>
    <xf borderId="4" fillId="5" fontId="4" numFmtId="0" xfId="0" applyAlignment="1" applyBorder="1" applyFont="1">
      <alignment horizontal="right" vertical="bottom"/>
    </xf>
    <xf borderId="4" fillId="7" fontId="4" numFmtId="0" xfId="0" applyAlignment="1" applyBorder="1" applyFill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 shrinkToFit="0" wrapText="0"/>
    </xf>
    <xf borderId="4" fillId="0" fontId="12" numFmtId="0" xfId="0" applyAlignment="1" applyBorder="1" applyFont="1">
      <alignment horizontal="center" readingOrder="0" shrinkToFit="0" wrapText="0"/>
    </xf>
    <xf borderId="4" fillId="0" fontId="9" numFmtId="0" xfId="0" applyAlignment="1" applyBorder="1" applyFont="1">
      <alignment horizontal="center"/>
    </xf>
    <xf borderId="4" fillId="0" fontId="13" numFmtId="0" xfId="0" applyAlignment="1" applyBorder="1" applyFont="1">
      <alignment horizontal="center" readingOrder="0"/>
    </xf>
    <xf borderId="4" fillId="0" fontId="7" numFmtId="4" xfId="0" applyAlignment="1" applyBorder="1" applyFont="1" applyNumberFormat="1">
      <alignment readingOrder="0"/>
    </xf>
    <xf borderId="4" fillId="0" fontId="12" numFmtId="4" xfId="0" applyAlignment="1" applyBorder="1" applyFont="1" applyNumberFormat="1">
      <alignment horizontal="center" readingOrder="0"/>
    </xf>
    <xf borderId="4" fillId="0" fontId="12" numFmtId="3" xfId="0" applyAlignment="1" applyBorder="1" applyFont="1" applyNumberFormat="1">
      <alignment horizontal="center" readingOrder="0"/>
    </xf>
    <xf borderId="4" fillId="0" fontId="9" numFmtId="3" xfId="0" applyAlignment="1" applyBorder="1" applyFont="1" applyNumberFormat="1">
      <alignment horizontal="center" readingOrder="0"/>
    </xf>
    <xf borderId="4" fillId="0" fontId="12" numFmtId="10" xfId="0" applyAlignment="1" applyBorder="1" applyFont="1" applyNumberFormat="1">
      <alignment horizontal="center" readingOrder="0"/>
    </xf>
    <xf borderId="4" fillId="0" fontId="7" numFmtId="3" xfId="0" applyAlignment="1" applyBorder="1" applyFont="1" applyNumberFormat="1">
      <alignment readingOrder="0"/>
    </xf>
    <xf borderId="4" fillId="0" fontId="9" numFmtId="4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horizontal="center" readingOrder="0" shrinkToFit="0" wrapText="0"/>
    </xf>
    <xf borderId="4" fillId="0" fontId="14" numFmtId="0" xfId="0" applyAlignment="1" applyBorder="1" applyFont="1">
      <alignment horizontal="center" readingOrder="0" shrinkToFit="0" wrapText="0"/>
    </xf>
    <xf borderId="4" fillId="0" fontId="12" numFmtId="0" xfId="0" applyAlignment="1" applyBorder="1" applyFont="1">
      <alignment horizontal="center" readingOrder="0" shrinkToFit="0" wrapText="0"/>
    </xf>
    <xf borderId="4" fillId="0" fontId="15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shrinkToFit="0" vertical="bottom" wrapText="0"/>
    </xf>
    <xf borderId="4" fillId="0" fontId="12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/>
    </xf>
    <xf borderId="4" fillId="0" fontId="6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readingOrder="0" shrinkToFit="0" wrapText="0"/>
    </xf>
    <xf borderId="4" fillId="0" fontId="10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4" fillId="0" fontId="19" numFmtId="0" xfId="0" applyAlignment="1" applyBorder="1" applyFont="1">
      <alignment horizontal="center" shrinkToFit="0" vertical="bottom" wrapText="0"/>
    </xf>
    <xf borderId="4" fillId="0" fontId="20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shrinkToFit="0" vertical="bottom" wrapText="0"/>
    </xf>
    <xf borderId="4" fillId="0" fontId="20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21" numFmtId="0" xfId="0" applyAlignment="1" applyBorder="1" applyFont="1">
      <alignment horizontal="center" readingOrder="0"/>
    </xf>
    <xf borderId="4" fillId="0" fontId="22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readingOrder="0"/>
    </xf>
    <xf borderId="4" fillId="0" fontId="23" numFmtId="0" xfId="0" applyAlignment="1" applyBorder="1" applyFont="1">
      <alignment readingOrder="0"/>
    </xf>
    <xf borderId="4" fillId="0" fontId="24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0" fontId="7" numFmtId="165" xfId="0" applyAlignment="1" applyBorder="1" applyFont="1" applyNumberFormat="1">
      <alignment horizontal="center" readingOrder="0"/>
    </xf>
    <xf borderId="4" fillId="0" fontId="25" numFmtId="0" xfId="0" applyAlignment="1" applyBorder="1" applyFont="1">
      <alignment readingOrder="0"/>
    </xf>
    <xf borderId="4" fillId="0" fontId="5" numFmtId="165" xfId="0" applyAlignment="1" applyBorder="1" applyFont="1" applyNumberFormat="1">
      <alignment horizontal="center" readingOrder="0" vertical="bottom"/>
    </xf>
    <xf borderId="4" fillId="0" fontId="22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4" fillId="0" fontId="26" numFmtId="0" xfId="0" applyAlignment="1" applyBorder="1" applyFont="1">
      <alignment vertical="bottom"/>
    </xf>
    <xf borderId="4" fillId="0" fontId="27" numFmtId="0" xfId="0" applyAlignment="1" applyBorder="1" applyFont="1">
      <alignment horizontal="right" vertical="bottom"/>
    </xf>
    <xf borderId="0" fillId="2" fontId="4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readingOrder="0" shrinkToFit="0" vertical="bottom" wrapText="1"/>
    </xf>
    <xf borderId="4" fillId="2" fontId="4" numFmtId="0" xfId="0" applyAlignment="1" applyBorder="1" applyFont="1">
      <alignment horizontal="center" readingOrder="0" shrinkToFit="0" wrapText="1"/>
    </xf>
    <xf borderId="0" fillId="2" fontId="4" numFmtId="3" xfId="0" applyAlignment="1" applyFont="1" applyNumberFormat="1">
      <alignment horizontal="center" readingOrder="0" shrinkToFit="0" wrapText="1"/>
    </xf>
    <xf borderId="4" fillId="0" fontId="12" numFmtId="0" xfId="0" applyAlignment="1" applyBorder="1" applyFont="1">
      <alignment horizontal="center" readingOrder="0"/>
    </xf>
    <xf borderId="4" fillId="0" fontId="9" numFmtId="1" xfId="0" applyAlignment="1" applyBorder="1" applyFont="1" applyNumberFormat="1">
      <alignment horizontal="center" readingOrder="0"/>
    </xf>
    <xf borderId="4" fillId="8" fontId="9" numFmtId="0" xfId="0" applyAlignment="1" applyBorder="1" applyFill="1" applyFont="1">
      <alignment horizontal="center" readingOrder="0"/>
    </xf>
    <xf borderId="4" fillId="8" fontId="5" numFmtId="0" xfId="0" applyAlignment="1" applyBorder="1" applyFont="1">
      <alignment horizontal="center" readingOrder="0"/>
    </xf>
    <xf borderId="4" fillId="8" fontId="9" numFmtId="0" xfId="0" applyAlignment="1" applyBorder="1" applyFont="1">
      <alignment horizontal="center" readingOrder="0"/>
    </xf>
    <xf borderId="4" fillId="8" fontId="10" numFmtId="0" xfId="0" applyAlignment="1" applyBorder="1" applyFont="1">
      <alignment horizontal="center" readingOrder="0"/>
    </xf>
    <xf borderId="4" fillId="8" fontId="28" numFmtId="0" xfId="0" applyAlignment="1" applyBorder="1" applyFont="1">
      <alignment horizontal="center" readingOrder="0" shrinkToFit="0" wrapText="0"/>
    </xf>
    <xf borderId="4" fillId="8" fontId="12" numFmtId="0" xfId="0" applyAlignment="1" applyBorder="1" applyFont="1">
      <alignment horizontal="center" readingOrder="0" shrinkToFit="0" wrapText="0"/>
    </xf>
    <xf borderId="4" fillId="8" fontId="9" numFmtId="0" xfId="0" applyAlignment="1" applyBorder="1" applyFont="1">
      <alignment horizontal="center" shrinkToFit="0" wrapText="0"/>
    </xf>
    <xf borderId="4" fillId="8" fontId="9" numFmtId="0" xfId="0" applyAlignment="1" applyBorder="1" applyFont="1">
      <alignment horizontal="center" readingOrder="0" shrinkToFit="0" wrapText="0"/>
    </xf>
    <xf borderId="4" fillId="8" fontId="29" numFmtId="0" xfId="0" applyAlignment="1" applyBorder="1" applyFont="1">
      <alignment horizontal="center" readingOrder="0"/>
    </xf>
    <xf borderId="4" fillId="8" fontId="9" numFmtId="0" xfId="0" applyAlignment="1" applyBorder="1" applyFont="1">
      <alignment horizontal="center" readingOrder="0"/>
    </xf>
    <xf borderId="4" fillId="8" fontId="12" numFmtId="0" xfId="0" applyAlignment="1" applyBorder="1" applyFont="1">
      <alignment horizontal="center" readingOrder="0"/>
    </xf>
    <xf borderId="4" fillId="8" fontId="7" numFmtId="4" xfId="0" applyAlignment="1" applyBorder="1" applyFont="1" applyNumberFormat="1">
      <alignment readingOrder="0"/>
    </xf>
    <xf borderId="4" fillId="8" fontId="12" numFmtId="4" xfId="0" applyAlignment="1" applyBorder="1" applyFont="1" applyNumberFormat="1">
      <alignment horizontal="center" readingOrder="0"/>
    </xf>
    <xf borderId="4" fillId="8" fontId="12" numFmtId="3" xfId="0" applyAlignment="1" applyBorder="1" applyFont="1" applyNumberFormat="1">
      <alignment horizontal="center" readingOrder="0"/>
    </xf>
    <xf borderId="4" fillId="8" fontId="9" numFmtId="1" xfId="0" applyAlignment="1" applyBorder="1" applyFont="1" applyNumberFormat="1">
      <alignment horizontal="center" readingOrder="0"/>
    </xf>
    <xf borderId="4" fillId="8" fontId="12" numFmtId="10" xfId="0" applyAlignment="1" applyBorder="1" applyFont="1" applyNumberFormat="1">
      <alignment horizontal="center" readingOrder="0"/>
    </xf>
    <xf borderId="4" fillId="8" fontId="7" numFmtId="3" xfId="0" applyAlignment="1" applyBorder="1" applyFont="1" applyNumberFormat="1">
      <alignment readingOrder="0"/>
    </xf>
    <xf borderId="4" fillId="8" fontId="7" numFmtId="0" xfId="0" applyAlignment="1" applyBorder="1" applyFont="1">
      <alignment readingOrder="0"/>
    </xf>
    <xf borderId="4" fillId="8" fontId="9" numFmtId="4" xfId="0" applyAlignment="1" applyBorder="1" applyFont="1" applyNumberFormat="1">
      <alignment horizontal="center" readingOrder="0"/>
    </xf>
    <xf borderId="4" fillId="8" fontId="9" numFmtId="0" xfId="0" applyAlignment="1" applyBorder="1" applyFont="1">
      <alignment horizontal="center" readingOrder="0" vertical="bottom"/>
    </xf>
    <xf borderId="4" fillId="8" fontId="5" numFmtId="0" xfId="0" applyAlignment="1" applyBorder="1" applyFont="1">
      <alignment horizontal="center" readingOrder="0" vertical="bottom"/>
    </xf>
    <xf borderId="4" fillId="8" fontId="9" numFmtId="0" xfId="0" applyAlignment="1" applyBorder="1" applyFont="1">
      <alignment horizontal="center" readingOrder="0" vertical="bottom"/>
    </xf>
    <xf borderId="4" fillId="8" fontId="30" numFmtId="0" xfId="0" applyAlignment="1" applyBorder="1" applyFont="1">
      <alignment horizontal="center" readingOrder="0" shrinkToFit="0" vertical="bottom" wrapText="0"/>
    </xf>
    <xf borderId="4" fillId="8" fontId="31" numFmtId="0" xfId="0" applyAlignment="1" applyBorder="1" applyFont="1">
      <alignment horizontal="center" readingOrder="0" vertical="bottom"/>
    </xf>
    <xf borderId="4" fillId="8" fontId="6" numFmtId="0" xfId="0" applyAlignment="1" applyBorder="1" applyFont="1">
      <alignment horizontal="center" readingOrder="0" vertical="bottom"/>
    </xf>
    <xf borderId="4" fillId="8" fontId="5" numFmtId="0" xfId="0" applyAlignment="1" applyBorder="1" applyFont="1">
      <alignment horizontal="center" vertical="bottom"/>
    </xf>
    <xf borderId="4" fillId="8" fontId="32" numFmtId="0" xfId="0" applyAlignment="1" applyBorder="1" applyFont="1">
      <alignment horizontal="center" shrinkToFit="0" vertical="bottom" wrapText="0"/>
    </xf>
    <xf borderId="4" fillId="8" fontId="5" numFmtId="0" xfId="0" applyAlignment="1" applyBorder="1" applyFont="1">
      <alignment horizontal="center" shrinkToFit="0" vertical="bottom" wrapText="0"/>
    </xf>
    <xf borderId="4" fillId="8" fontId="7" numFmtId="0" xfId="0" applyAlignment="1" applyBorder="1" applyFont="1">
      <alignment horizontal="center" readingOrder="0"/>
    </xf>
    <xf borderId="4" fillId="8" fontId="7" numFmtId="0" xfId="0" applyAlignment="1" applyBorder="1" applyFont="1">
      <alignment readingOrder="0"/>
    </xf>
    <xf borderId="4" fillId="8" fontId="7" numFmtId="0" xfId="0" applyAlignment="1" applyBorder="1" applyFont="1">
      <alignment horizontal="center"/>
    </xf>
    <xf borderId="4" fillId="8" fontId="7" numFmtId="165" xfId="0" applyAlignment="1" applyBorder="1" applyFont="1" applyNumberFormat="1">
      <alignment horizontal="center" readingOrder="0"/>
    </xf>
    <xf borderId="4" fillId="8" fontId="33" numFmtId="0" xfId="0" applyAlignment="1" applyBorder="1" applyFont="1">
      <alignment readingOrder="0"/>
    </xf>
    <xf borderId="4" fillId="8" fontId="34" numFmtId="0" xfId="0" applyAlignment="1" applyBorder="1" applyFont="1">
      <alignment readingOrder="0" vertical="bottom"/>
    </xf>
    <xf borderId="4" fillId="8" fontId="5" numFmtId="0" xfId="0" applyAlignment="1" applyBorder="1" applyFont="1">
      <alignment readingOrder="0" vertical="bottom"/>
    </xf>
    <xf borderId="4" fillId="8" fontId="5" numFmtId="165" xfId="0" applyAlignment="1" applyBorder="1" applyFont="1" applyNumberFormat="1">
      <alignment horizontal="center" readingOrder="0" vertical="bottom"/>
    </xf>
    <xf borderId="4" fillId="3" fontId="4" numFmtId="4" xfId="0" applyAlignment="1" applyBorder="1" applyFont="1" applyNumberFormat="1">
      <alignment horizontal="center" readingOrder="0"/>
    </xf>
    <xf borderId="4" fillId="3" fontId="4" numFmtId="166" xfId="0" applyAlignment="1" applyBorder="1" applyFont="1" applyNumberFormat="1">
      <alignment horizontal="center" readingOrder="0"/>
    </xf>
    <xf borderId="4" fillId="0" fontId="5" numFmtId="167" xfId="0" applyAlignment="1" applyBorder="1" applyFont="1" applyNumberFormat="1">
      <alignment horizontal="center"/>
    </xf>
    <xf borderId="4" fillId="0" fontId="7" numFmtId="4" xfId="0" applyBorder="1" applyFont="1" applyNumberFormat="1"/>
    <xf borderId="4" fillId="0" fontId="5" numFmtId="0" xfId="0" applyAlignment="1" applyBorder="1" applyFont="1">
      <alignment vertical="bottom"/>
    </xf>
    <xf borderId="4" fillId="0" fontId="5" numFmtId="3" xfId="0" applyAlignment="1" applyBorder="1" applyFont="1" applyNumberFormat="1">
      <alignment horizontal="center" readingOrder="0"/>
    </xf>
    <xf borderId="4" fillId="0" fontId="7" numFmtId="4" xfId="0" applyAlignment="1" applyBorder="1" applyFont="1" applyNumberFormat="1">
      <alignment horizontal="right"/>
    </xf>
    <xf borderId="4" fillId="0" fontId="3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right" readingOrder="0"/>
    </xf>
    <xf borderId="4" fillId="0" fontId="5" numFmtId="4" xfId="0" applyAlignment="1" applyBorder="1" applyFont="1" applyNumberFormat="1">
      <alignment horizontal="center"/>
    </xf>
    <xf borderId="4" fillId="0" fontId="5" numFmtId="3" xfId="0" applyAlignment="1" applyBorder="1" applyFont="1" applyNumberFormat="1">
      <alignment horizontal="center" vertical="bottom"/>
    </xf>
    <xf borderId="4" fillId="0" fontId="36" numFmtId="0" xfId="0" applyAlignment="1" applyBorder="1" applyFont="1">
      <alignment horizontal="center" vertical="bottom"/>
    </xf>
    <xf borderId="4" fillId="0" fontId="37" numFmtId="0" xfId="0" applyAlignment="1" applyBorder="1" applyFont="1">
      <alignment horizontal="center" readingOrder="0" vertical="bottom"/>
    </xf>
    <xf borderId="4" fillId="0" fontId="5" numFmtId="4" xfId="0" applyAlignment="1" applyBorder="1" applyFont="1" applyNumberFormat="1">
      <alignment horizontal="center" readingOrder="0" vertical="bottom"/>
    </xf>
    <xf borderId="4" fillId="0" fontId="5" numFmtId="4" xfId="0" applyAlignment="1" applyBorder="1" applyFont="1" applyNumberFormat="1">
      <alignment horizontal="center" vertical="bottom"/>
    </xf>
    <xf borderId="4" fillId="0" fontId="5" numFmtId="3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7" numFmtId="164" xfId="0" applyAlignment="1" applyBorder="1" applyFont="1" applyNumberFormat="1">
      <alignment horizontal="right" readingOrder="0"/>
    </xf>
    <xf borderId="4" fillId="0" fontId="6" numFmtId="49" xfId="0" applyAlignment="1" applyBorder="1" applyFont="1" applyNumberFormat="1">
      <alignment horizontal="center" readingOrder="0"/>
    </xf>
    <xf borderId="4" fillId="0" fontId="38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4" fillId="0" fontId="39" numFmtId="49" xfId="0" applyAlignment="1" applyBorder="1" applyFont="1" applyNumberFormat="1">
      <alignment horizontal="center" readingOrder="0" shrinkToFit="0" wrapText="0"/>
    </xf>
    <xf borderId="4" fillId="0" fontId="39" numFmtId="0" xfId="0" applyAlignment="1" applyBorder="1" applyFont="1">
      <alignment horizontal="center" readingOrder="0" shrinkToFit="0" wrapText="0"/>
    </xf>
    <xf borderId="4" fillId="0" fontId="7" numFmtId="4" xfId="0" applyAlignment="1" applyBorder="1" applyFont="1" applyNumberFormat="1">
      <alignment horizontal="center" shrinkToFit="0" wrapText="0"/>
    </xf>
    <xf borderId="4" fillId="0" fontId="6" numFmtId="0" xfId="0" applyAlignment="1" applyBorder="1" applyFont="1">
      <alignment horizontal="center" readingOrder="0" shrinkToFit="0" wrapText="0"/>
    </xf>
    <xf borderId="4" fillId="0" fontId="5" numFmtId="3" xfId="0" applyAlignment="1" applyBorder="1" applyFont="1" applyNumberFormat="1">
      <alignment horizontal="center" shrinkToFit="0" wrapText="0"/>
    </xf>
    <xf borderId="4" fillId="0" fontId="6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wrapText="0"/>
    </xf>
    <xf borderId="4" fillId="0" fontId="7" numFmtId="164" xfId="0" applyAlignment="1" applyBorder="1" applyFont="1" applyNumberFormat="1">
      <alignment horizontal="right" readingOrder="0" shrinkToFit="0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readingOrder="0" shrinkToFit="0" wrapText="0"/>
    </xf>
    <xf borderId="4" fillId="0" fontId="40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/>
    </xf>
    <xf borderId="4" fillId="0" fontId="7" numFmtId="49" xfId="0" applyAlignment="1" applyBorder="1" applyFont="1" applyNumberFormat="1">
      <alignment horizontal="right"/>
    </xf>
    <xf borderId="4" fillId="0" fontId="39" numFmtId="0" xfId="0" applyAlignment="1" applyBorder="1" applyFont="1">
      <alignment horizontal="center" shrinkToFit="0" wrapText="0"/>
    </xf>
    <xf borderId="4" fillId="0" fontId="7" numFmtId="49" xfId="0" applyAlignment="1" applyBorder="1" applyFont="1" applyNumberFormat="1">
      <alignment horizontal="right" shrinkToFit="0" wrapText="0"/>
    </xf>
    <xf borderId="4" fillId="0" fontId="5" numFmtId="3" xfId="0" applyAlignment="1" applyBorder="1" applyFont="1" applyNumberFormat="1">
      <alignment horizontal="center" readingOrder="0" shrinkToFit="0" wrapText="0"/>
    </xf>
    <xf borderId="4" fillId="0" fontId="6" numFmtId="0" xfId="0" applyAlignment="1" applyBorder="1" applyFont="1">
      <alignment horizontal="center" vertical="bottom"/>
    </xf>
    <xf borderId="4" fillId="0" fontId="5" numFmtId="4" xfId="0" applyAlignment="1" applyBorder="1" applyFont="1" applyNumberFormat="1">
      <alignment vertical="bottom"/>
    </xf>
    <xf borderId="4" fillId="0" fontId="5" numFmtId="3" xfId="0" applyAlignment="1" applyBorder="1" applyFont="1" applyNumberFormat="1">
      <alignment horizontal="center" shrinkToFit="0" vertical="bottom" wrapText="0"/>
    </xf>
    <xf borderId="4" fillId="0" fontId="5" numFmtId="49" xfId="0" applyAlignment="1" applyBorder="1" applyFont="1" applyNumberFormat="1">
      <alignment vertical="bottom"/>
    </xf>
    <xf borderId="4" fillId="0" fontId="41" numFmtId="0" xfId="0" applyAlignment="1" applyBorder="1" applyFont="1">
      <alignment horizontal="center" shrinkToFit="0" vertical="bottom" wrapText="0"/>
    </xf>
    <xf borderId="4" fillId="0" fontId="5" numFmtId="4" xfId="0" applyAlignment="1" applyBorder="1" applyFont="1" applyNumberFormat="1">
      <alignment horizontal="center" readingOrder="0" shrinkToFit="0" vertical="bottom" wrapText="0"/>
    </xf>
    <xf borderId="4" fillId="0" fontId="5" numFmtId="4" xfId="0" applyAlignment="1" applyBorder="1" applyFont="1" applyNumberFormat="1">
      <alignment horizontal="center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42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0" fontId="5" numFmtId="165" xfId="0" applyAlignment="1" applyBorder="1" applyFont="1" applyNumberFormat="1">
      <alignment readingOrder="0" vertical="bottom"/>
    </xf>
    <xf borderId="4" fillId="0" fontId="5" numFmtId="168" xfId="0" applyAlignment="1" applyBorder="1" applyFont="1" applyNumberFormat="1">
      <alignment horizontal="center" readingOrder="0" shrinkToFit="0" vertical="bottom" wrapText="0"/>
    </xf>
    <xf borderId="4" fillId="0" fontId="5" numFmtId="3" xfId="0" applyAlignment="1" applyBorder="1" applyFont="1" applyNumberFormat="1">
      <alignment vertical="bottom"/>
    </xf>
    <xf borderId="4" fillId="0" fontId="5" numFmtId="167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top"/>
    </xf>
    <xf borderId="4" fillId="0" fontId="5" numFmtId="3" xfId="0" applyAlignment="1" applyBorder="1" applyFont="1" applyNumberFormat="1">
      <alignment horizontal="right" vertical="top"/>
    </xf>
    <xf borderId="4" fillId="0" fontId="5" numFmtId="164" xfId="0" applyAlignment="1" applyBorder="1" applyFont="1" applyNumberFormat="1">
      <alignment vertical="bottom"/>
    </xf>
    <xf borderId="4" fillId="0" fontId="43" numFmtId="0" xfId="0" applyAlignment="1" applyBorder="1" applyFont="1">
      <alignment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4" fillId="0" fontId="5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wrapText="0"/>
    </xf>
    <xf borderId="4" fillId="0" fontId="7" numFmtId="4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3" Type="http://schemas.openxmlformats.org/officeDocument/2006/relationships/worksheet" Target="worksheets/sheet2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een.cc/Upload/114/details.pdf" TargetMode="External"/><Relationship Id="rId42" Type="http://schemas.openxmlformats.org/officeDocument/2006/relationships/hyperlink" Target="https://aleen.cc/Upload/116/details.pdf" TargetMode="External"/><Relationship Id="rId41" Type="http://schemas.openxmlformats.org/officeDocument/2006/relationships/hyperlink" Target="https://maps.app.goo.gl/aPzeBprVj13cSdA58" TargetMode="External"/><Relationship Id="rId44" Type="http://schemas.openxmlformats.org/officeDocument/2006/relationships/hyperlink" Target="https://aleen.cc/Upload/118/details.pdf" TargetMode="External"/><Relationship Id="rId43" Type="http://schemas.openxmlformats.org/officeDocument/2006/relationships/hyperlink" Target="https://maps.app.goo.gl/PdT3Tj4Dvk8kKpTv5" TargetMode="External"/><Relationship Id="rId46" Type="http://schemas.openxmlformats.org/officeDocument/2006/relationships/hyperlink" Target="https://aleen.cc/Upload/124/details.pdf" TargetMode="External"/><Relationship Id="rId45" Type="http://schemas.openxmlformats.org/officeDocument/2006/relationships/hyperlink" Target="https://maps.app.goo.gl/GZQdygQz2buAmz2a6" TargetMode="External"/><Relationship Id="rId1" Type="http://schemas.openxmlformats.org/officeDocument/2006/relationships/hyperlink" Target="https://maps.app.goo.gl/VQzCjvzJ9MfCPR7U9" TargetMode="External"/><Relationship Id="rId2" Type="http://schemas.openxmlformats.org/officeDocument/2006/relationships/hyperlink" Target="https://maps.app.goo.gl/HbNqmyyW7a6zVxRs7?g_st=ipc" TargetMode="External"/><Relationship Id="rId3" Type="http://schemas.openxmlformats.org/officeDocument/2006/relationships/hyperlink" Target="https://maps.app.goo.gl/oLz5KTAHqTimZF2T9" TargetMode="External"/><Relationship Id="rId4" Type="http://schemas.openxmlformats.org/officeDocument/2006/relationships/hyperlink" Target="https://drive.google.com/file/d/1Xo0SvTtoIp6kEkDIlHzR9HH5U9E6AULL/view?usp=sharing" TargetMode="External"/><Relationship Id="rId9" Type="http://schemas.openxmlformats.org/officeDocument/2006/relationships/hyperlink" Target="https://maps.app.goo.gl/irPzaUaLrvcgyAu49" TargetMode="External"/><Relationship Id="rId48" Type="http://schemas.openxmlformats.org/officeDocument/2006/relationships/hyperlink" Target="https://aleen.cc/Upload/128/details.pdf" TargetMode="External"/><Relationship Id="rId47" Type="http://schemas.openxmlformats.org/officeDocument/2006/relationships/hyperlink" Target="https://maps.app.goo.gl/KN2rYWyKvWxME9sV8" TargetMode="External"/><Relationship Id="rId49" Type="http://schemas.openxmlformats.org/officeDocument/2006/relationships/hyperlink" Target="https://maps.app.goo.gl/b9UZzChGqqS28ubV8" TargetMode="External"/><Relationship Id="rId5" Type="http://schemas.openxmlformats.org/officeDocument/2006/relationships/hyperlink" Target="https://maps.app.goo.gl/qsJppfPit9RN8sY98" TargetMode="External"/><Relationship Id="rId6" Type="http://schemas.openxmlformats.org/officeDocument/2006/relationships/hyperlink" Target="https://drive.google.com/file/d/1sTQUnb6NbxtZZujbgrTPR80Ha-yaOD9T/view?usp=sharing" TargetMode="External"/><Relationship Id="rId7" Type="http://schemas.openxmlformats.org/officeDocument/2006/relationships/hyperlink" Target="https://maps.app.goo.gl/CMxaMUfvXSi6TrNt5" TargetMode="External"/><Relationship Id="rId8" Type="http://schemas.openxmlformats.org/officeDocument/2006/relationships/hyperlink" Target="https://drive.google.com/file/d/1TWuNkH_PzooMLu-YP3SnGlduJM0XsAUQ/view?usp=sharing" TargetMode="External"/><Relationship Id="rId31" Type="http://schemas.openxmlformats.org/officeDocument/2006/relationships/hyperlink" Target="https://maps.app.goo.gl/v2sgcJPvGZ6JhYBG6" TargetMode="External"/><Relationship Id="rId30" Type="http://schemas.openxmlformats.org/officeDocument/2006/relationships/hyperlink" Target="https://aleen.cc/Upload/126/details.pdf" TargetMode="External"/><Relationship Id="rId33" Type="http://schemas.openxmlformats.org/officeDocument/2006/relationships/hyperlink" Target="https://maps.app.goo.gl/JhhefWq7P9bUUjvZ6" TargetMode="External"/><Relationship Id="rId32" Type="http://schemas.openxmlformats.org/officeDocument/2006/relationships/hyperlink" Target="https://aleen.cc/Upload/130/details.pdf" TargetMode="External"/><Relationship Id="rId35" Type="http://schemas.openxmlformats.org/officeDocument/2006/relationships/hyperlink" Target="https://maps.app.goo.gl/cP1o1L4xNxf3GKJo6" TargetMode="External"/><Relationship Id="rId34" Type="http://schemas.openxmlformats.org/officeDocument/2006/relationships/hyperlink" Target="https://aleen.cc/Upload/138/details.pdf" TargetMode="External"/><Relationship Id="rId37" Type="http://schemas.openxmlformats.org/officeDocument/2006/relationships/hyperlink" Target="https://maps.app.goo.gl/g331g3VUhP43BJKq9" TargetMode="External"/><Relationship Id="rId36" Type="http://schemas.openxmlformats.org/officeDocument/2006/relationships/hyperlink" Target="https://aleen.cc/Upload/27/details.pdf" TargetMode="External"/><Relationship Id="rId39" Type="http://schemas.openxmlformats.org/officeDocument/2006/relationships/hyperlink" Target="https://maps.app.goo.gl/aPzeBprVj13cSdA58" TargetMode="External"/><Relationship Id="rId38" Type="http://schemas.openxmlformats.org/officeDocument/2006/relationships/hyperlink" Target="https://aleen.cc/Upload/98/details.pdf" TargetMode="External"/><Relationship Id="rId61" Type="http://schemas.openxmlformats.org/officeDocument/2006/relationships/drawing" Target="../drawings/drawing3.xml"/><Relationship Id="rId20" Type="http://schemas.openxmlformats.org/officeDocument/2006/relationships/hyperlink" Target="https://aleen.cc/Upload/88/details.pdf" TargetMode="External"/><Relationship Id="rId22" Type="http://schemas.openxmlformats.org/officeDocument/2006/relationships/hyperlink" Target="https://aleen.cc/Upload/102/details.pdf" TargetMode="External"/><Relationship Id="rId21" Type="http://schemas.openxmlformats.org/officeDocument/2006/relationships/hyperlink" Target="https://maps.app.goo.gl/vztQFdMWUJ729zNeA" TargetMode="External"/><Relationship Id="rId24" Type="http://schemas.openxmlformats.org/officeDocument/2006/relationships/hyperlink" Target="https://aleen.cc/Upload/104/details.pdf" TargetMode="External"/><Relationship Id="rId23" Type="http://schemas.openxmlformats.org/officeDocument/2006/relationships/hyperlink" Target="https://maps.app.goo.gl/chehxACrY7pjZYJM7" TargetMode="External"/><Relationship Id="rId60" Type="http://schemas.openxmlformats.org/officeDocument/2006/relationships/hyperlink" Target="https://drive.google.com/file/d/1WojWh2utWfc6vYtmvB9d7_qan2ndQ3ot/view?usp=drive_link" TargetMode="External"/><Relationship Id="rId26" Type="http://schemas.openxmlformats.org/officeDocument/2006/relationships/hyperlink" Target="https://aleen.cc/Upload/112/details.pdf" TargetMode="External"/><Relationship Id="rId25" Type="http://schemas.openxmlformats.org/officeDocument/2006/relationships/hyperlink" Target="https://maps.app.goo.gl/vBnbYV9NfLEoANbi9" TargetMode="External"/><Relationship Id="rId28" Type="http://schemas.openxmlformats.org/officeDocument/2006/relationships/hyperlink" Target="https://aleen.cc/Upload/122/details.pdf" TargetMode="External"/><Relationship Id="rId27" Type="http://schemas.openxmlformats.org/officeDocument/2006/relationships/hyperlink" Target="https://maps.app.goo.gl/u3xuGx2EjkDGJ3fz8" TargetMode="External"/><Relationship Id="rId29" Type="http://schemas.openxmlformats.org/officeDocument/2006/relationships/hyperlink" Target="https://maps.app.goo.gl/u3xuGx2EjkDGJ3fz8" TargetMode="External"/><Relationship Id="rId51" Type="http://schemas.openxmlformats.org/officeDocument/2006/relationships/hyperlink" Target="https://maps.app.goo.gl/PQG99pCQhSiA7Gwo9" TargetMode="External"/><Relationship Id="rId50" Type="http://schemas.openxmlformats.org/officeDocument/2006/relationships/hyperlink" Target="https://aleen.cc/Upload/132/details.pdf" TargetMode="External"/><Relationship Id="rId53" Type="http://schemas.openxmlformats.org/officeDocument/2006/relationships/hyperlink" Target="https://maps.app.goo.gl/UDj1zhtU5gP7FZt16" TargetMode="External"/><Relationship Id="rId52" Type="http://schemas.openxmlformats.org/officeDocument/2006/relationships/hyperlink" Target="https://aleen.cc/Upload/136/details.pdf" TargetMode="External"/><Relationship Id="rId11" Type="http://schemas.openxmlformats.org/officeDocument/2006/relationships/hyperlink" Target="https://drive.google.com/file/d/1evP5tdtznuqptNbtqmT2afQspZTbeKhA/view?usp=sharing" TargetMode="External"/><Relationship Id="rId55" Type="http://schemas.openxmlformats.org/officeDocument/2006/relationships/hyperlink" Target="https://maps.app.goo.gl/UDj1zhtU5gP7FZt16" TargetMode="External"/><Relationship Id="rId10" Type="http://schemas.openxmlformats.org/officeDocument/2006/relationships/hyperlink" Target="https://maps.app.goo.gl/y4PPVtti2qfr3m8z9" TargetMode="External"/><Relationship Id="rId54" Type="http://schemas.openxmlformats.org/officeDocument/2006/relationships/hyperlink" Target="https://aleen.cc/Upload/140/details.pdf" TargetMode="External"/><Relationship Id="rId13" Type="http://schemas.openxmlformats.org/officeDocument/2006/relationships/hyperlink" Target="https://drive.google.com/file/d/1My-Ev1ZRdnJyzLjGvMwv5mOtdigf5Gk9/view?usp=sharing" TargetMode="External"/><Relationship Id="rId57" Type="http://schemas.openxmlformats.org/officeDocument/2006/relationships/hyperlink" Target="https://maps.app.goo.gl/wx1wwEgFLzYgdNxr6" TargetMode="External"/><Relationship Id="rId12" Type="http://schemas.openxmlformats.org/officeDocument/2006/relationships/hyperlink" Target="https://maps.app.goo.gl/Zv5gYWbaA7QQA23C7" TargetMode="External"/><Relationship Id="rId56" Type="http://schemas.openxmlformats.org/officeDocument/2006/relationships/hyperlink" Target="https://aleen.cc/Upload/156/details.pdf" TargetMode="External"/><Relationship Id="rId15" Type="http://schemas.openxmlformats.org/officeDocument/2006/relationships/hyperlink" Target="https://drive.google.com/file/d/193nD9209yLCEkuvipRKig80B_3Mc39EB/view?usp=sharing" TargetMode="External"/><Relationship Id="rId59" Type="http://schemas.openxmlformats.org/officeDocument/2006/relationships/hyperlink" Target="https://drive.google.com/file/d/1WojWh2utWfc6vYtmvB9d7_qan2ndQ3ot/view?usp=drive_link" TargetMode="External"/><Relationship Id="rId14" Type="http://schemas.openxmlformats.org/officeDocument/2006/relationships/hyperlink" Target="https://maps.app.goo.gl/v3gDHhxP3SsNPscp7" TargetMode="External"/><Relationship Id="rId58" Type="http://schemas.openxmlformats.org/officeDocument/2006/relationships/hyperlink" Target="https://maps.app.goo.gl/qdVJ5JZA2bqzGZVr6" TargetMode="External"/><Relationship Id="rId17" Type="http://schemas.openxmlformats.org/officeDocument/2006/relationships/hyperlink" Target="https://maps.app.goo.gl/5yYbPMnuG8Xk46Kf8?g_st=ipc" TargetMode="External"/><Relationship Id="rId16" Type="http://schemas.openxmlformats.org/officeDocument/2006/relationships/hyperlink" Target="https://goo.gl/maps/fbK93s6v1kVooZMVA" TargetMode="External"/><Relationship Id="rId19" Type="http://schemas.openxmlformats.org/officeDocument/2006/relationships/hyperlink" Target="https://www.google.com/maps/place/24%C2%B046'18.9%22N+46%C2%B037'56.3%22E/@24.7719167,46.6323056,1376m/data=!3m2!1e3!4b1!4m4!3m3!8m2!3d24.7719167!4d46.6323056!5m1!1e1?authuser=0&amp;entry=tts&amp;g_ep=EgoyMDI1MDYyMy4yIPu8ASoASAFQAw%3D%3D&amp;skid=06f74f57-7ddc-40a6-9eae-6803a2eeab30" TargetMode="External"/><Relationship Id="rId18" Type="http://schemas.openxmlformats.org/officeDocument/2006/relationships/hyperlink" Target="https://maps.app.goo.gl/KhDLpCiJxxoQ1rnf8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een.cc/Upload/114/details.pdf" TargetMode="External"/><Relationship Id="rId42" Type="http://schemas.openxmlformats.org/officeDocument/2006/relationships/hyperlink" Target="https://aleen.cc/Upload/116/details.pdf" TargetMode="External"/><Relationship Id="rId41" Type="http://schemas.openxmlformats.org/officeDocument/2006/relationships/hyperlink" Target="https://maps.app.goo.gl/aPzeBprVj13cSdA58" TargetMode="External"/><Relationship Id="rId44" Type="http://schemas.openxmlformats.org/officeDocument/2006/relationships/hyperlink" Target="https://aleen.cc/Upload/118/details.pdf" TargetMode="External"/><Relationship Id="rId43" Type="http://schemas.openxmlformats.org/officeDocument/2006/relationships/hyperlink" Target="https://maps.app.goo.gl/PdT3Tj4Dvk8kKpTv5" TargetMode="External"/><Relationship Id="rId46" Type="http://schemas.openxmlformats.org/officeDocument/2006/relationships/hyperlink" Target="https://aleen.cc/Upload/124/details.pdf" TargetMode="External"/><Relationship Id="rId45" Type="http://schemas.openxmlformats.org/officeDocument/2006/relationships/hyperlink" Target="https://maps.app.goo.gl/GZQdygQz2buAmz2a6" TargetMode="External"/><Relationship Id="rId1" Type="http://schemas.openxmlformats.org/officeDocument/2006/relationships/hyperlink" Target="https://maps.app.goo.gl/VQzCjvzJ9MfCPR7U9" TargetMode="External"/><Relationship Id="rId2" Type="http://schemas.openxmlformats.org/officeDocument/2006/relationships/hyperlink" Target="https://maps.app.goo.gl/HbNqmyyW7a6zVxRs7?g_st=ipc" TargetMode="External"/><Relationship Id="rId3" Type="http://schemas.openxmlformats.org/officeDocument/2006/relationships/hyperlink" Target="https://maps.app.goo.gl/oLz5KTAHqTimZF2T9" TargetMode="External"/><Relationship Id="rId4" Type="http://schemas.openxmlformats.org/officeDocument/2006/relationships/hyperlink" Target="https://drive.google.com/file/d/1Xo0SvTtoIp6kEkDIlHzR9HH5U9E6AULL/view?usp=sharing" TargetMode="External"/><Relationship Id="rId9" Type="http://schemas.openxmlformats.org/officeDocument/2006/relationships/hyperlink" Target="https://maps.app.goo.gl/irPzaUaLrvcgyAu49" TargetMode="External"/><Relationship Id="rId48" Type="http://schemas.openxmlformats.org/officeDocument/2006/relationships/hyperlink" Target="https://aleen.cc/Upload/128/details.pdf" TargetMode="External"/><Relationship Id="rId47" Type="http://schemas.openxmlformats.org/officeDocument/2006/relationships/hyperlink" Target="https://maps.app.goo.gl/KN2rYWyKvWxME9sV8" TargetMode="External"/><Relationship Id="rId49" Type="http://schemas.openxmlformats.org/officeDocument/2006/relationships/hyperlink" Target="https://maps.app.goo.gl/b9UZzChGqqS28ubV8" TargetMode="External"/><Relationship Id="rId5" Type="http://schemas.openxmlformats.org/officeDocument/2006/relationships/hyperlink" Target="https://maps.app.goo.gl/qsJppfPit9RN8sY98" TargetMode="External"/><Relationship Id="rId6" Type="http://schemas.openxmlformats.org/officeDocument/2006/relationships/hyperlink" Target="https://drive.google.com/file/d/1sTQUnb6NbxtZZujbgrTPR80Ha-yaOD9T/view?usp=sharing" TargetMode="External"/><Relationship Id="rId7" Type="http://schemas.openxmlformats.org/officeDocument/2006/relationships/hyperlink" Target="https://maps.app.goo.gl/CMxaMUfvXSi6TrNt5" TargetMode="External"/><Relationship Id="rId8" Type="http://schemas.openxmlformats.org/officeDocument/2006/relationships/hyperlink" Target="https://drive.google.com/file/d/1TWuNkH_PzooMLu-YP3SnGlduJM0XsAUQ/view?usp=sharing" TargetMode="External"/><Relationship Id="rId31" Type="http://schemas.openxmlformats.org/officeDocument/2006/relationships/hyperlink" Target="https://maps.app.goo.gl/v2sgcJPvGZ6JhYBG6" TargetMode="External"/><Relationship Id="rId30" Type="http://schemas.openxmlformats.org/officeDocument/2006/relationships/hyperlink" Target="https://aleen.cc/Upload/126/details.pdf" TargetMode="External"/><Relationship Id="rId33" Type="http://schemas.openxmlformats.org/officeDocument/2006/relationships/hyperlink" Target="https://maps.app.goo.gl/JhhefWq7P9bUUjvZ6" TargetMode="External"/><Relationship Id="rId32" Type="http://schemas.openxmlformats.org/officeDocument/2006/relationships/hyperlink" Target="https://aleen.cc/Upload/130/details.pdf" TargetMode="External"/><Relationship Id="rId35" Type="http://schemas.openxmlformats.org/officeDocument/2006/relationships/hyperlink" Target="https://maps.app.goo.gl/cP1o1L4xNxf3GKJo6" TargetMode="External"/><Relationship Id="rId34" Type="http://schemas.openxmlformats.org/officeDocument/2006/relationships/hyperlink" Target="https://aleen.cc/Upload/138/details.pdf" TargetMode="External"/><Relationship Id="rId37" Type="http://schemas.openxmlformats.org/officeDocument/2006/relationships/hyperlink" Target="https://maps.app.goo.gl/g331g3VUhP43BJKq9" TargetMode="External"/><Relationship Id="rId36" Type="http://schemas.openxmlformats.org/officeDocument/2006/relationships/hyperlink" Target="https://aleen.cc/Upload/27/details.pdf" TargetMode="External"/><Relationship Id="rId39" Type="http://schemas.openxmlformats.org/officeDocument/2006/relationships/hyperlink" Target="https://maps.app.goo.gl/aPzeBprVj13cSdA58" TargetMode="External"/><Relationship Id="rId38" Type="http://schemas.openxmlformats.org/officeDocument/2006/relationships/hyperlink" Target="https://aleen.cc/Upload/98/details.pdf" TargetMode="External"/><Relationship Id="rId20" Type="http://schemas.openxmlformats.org/officeDocument/2006/relationships/hyperlink" Target="https://aleen.cc/Upload/88/details.pdf" TargetMode="External"/><Relationship Id="rId22" Type="http://schemas.openxmlformats.org/officeDocument/2006/relationships/hyperlink" Target="https://aleen.cc/Upload/102/details.pdf" TargetMode="External"/><Relationship Id="rId21" Type="http://schemas.openxmlformats.org/officeDocument/2006/relationships/hyperlink" Target="https://maps.app.goo.gl/vztQFdMWUJ729zNeA" TargetMode="External"/><Relationship Id="rId24" Type="http://schemas.openxmlformats.org/officeDocument/2006/relationships/hyperlink" Target="https://aleen.cc/Upload/104/details.pdf" TargetMode="External"/><Relationship Id="rId23" Type="http://schemas.openxmlformats.org/officeDocument/2006/relationships/hyperlink" Target="https://maps.app.goo.gl/chehxACrY7pjZYJM7" TargetMode="External"/><Relationship Id="rId26" Type="http://schemas.openxmlformats.org/officeDocument/2006/relationships/hyperlink" Target="https://aleen.cc/Upload/112/details.pdf" TargetMode="External"/><Relationship Id="rId25" Type="http://schemas.openxmlformats.org/officeDocument/2006/relationships/hyperlink" Target="https://maps.app.goo.gl/vBnbYV9NfLEoANbi9" TargetMode="External"/><Relationship Id="rId28" Type="http://schemas.openxmlformats.org/officeDocument/2006/relationships/hyperlink" Target="https://aleen.cc/Upload/122/details.pdf" TargetMode="External"/><Relationship Id="rId27" Type="http://schemas.openxmlformats.org/officeDocument/2006/relationships/hyperlink" Target="https://maps.app.goo.gl/u3xuGx2EjkDGJ3fz8" TargetMode="External"/><Relationship Id="rId29" Type="http://schemas.openxmlformats.org/officeDocument/2006/relationships/hyperlink" Target="https://maps.app.goo.gl/u3xuGx2EjkDGJ3fz8" TargetMode="External"/><Relationship Id="rId51" Type="http://schemas.openxmlformats.org/officeDocument/2006/relationships/hyperlink" Target="https://maps.app.goo.gl/PQG99pCQhSiA7Gwo9" TargetMode="External"/><Relationship Id="rId50" Type="http://schemas.openxmlformats.org/officeDocument/2006/relationships/hyperlink" Target="https://aleen.cc/Upload/132/details.pdf" TargetMode="External"/><Relationship Id="rId53" Type="http://schemas.openxmlformats.org/officeDocument/2006/relationships/hyperlink" Target="https://maps.app.goo.gl/UDj1zhtU5gP7FZt16" TargetMode="External"/><Relationship Id="rId52" Type="http://schemas.openxmlformats.org/officeDocument/2006/relationships/hyperlink" Target="https://aleen.cc/Upload/136/details.pdf" TargetMode="External"/><Relationship Id="rId11" Type="http://schemas.openxmlformats.org/officeDocument/2006/relationships/hyperlink" Target="https://drive.google.com/file/d/1evP5tdtznuqptNbtqmT2afQspZTbeKhA/view?usp=sharing" TargetMode="External"/><Relationship Id="rId55" Type="http://schemas.openxmlformats.org/officeDocument/2006/relationships/hyperlink" Target="https://maps.app.goo.gl/UDj1zhtU5gP7FZt16" TargetMode="External"/><Relationship Id="rId10" Type="http://schemas.openxmlformats.org/officeDocument/2006/relationships/hyperlink" Target="https://maps.app.goo.gl/y4PPVtti2qfr3m8z9" TargetMode="External"/><Relationship Id="rId54" Type="http://schemas.openxmlformats.org/officeDocument/2006/relationships/hyperlink" Target="https://aleen.cc/Upload/140/details.pdf" TargetMode="External"/><Relationship Id="rId13" Type="http://schemas.openxmlformats.org/officeDocument/2006/relationships/hyperlink" Target="https://drive.google.com/file/d/1My-Ev1ZRdnJyzLjGvMwv5mOtdigf5Gk9/view?usp=sharing" TargetMode="External"/><Relationship Id="rId57" Type="http://schemas.openxmlformats.org/officeDocument/2006/relationships/hyperlink" Target="https://maps.app.goo.gl/wx1wwEgFLzYgdNxr6" TargetMode="External"/><Relationship Id="rId12" Type="http://schemas.openxmlformats.org/officeDocument/2006/relationships/hyperlink" Target="https://maps.app.goo.gl/Zv5gYWbaA7QQA23C7" TargetMode="External"/><Relationship Id="rId56" Type="http://schemas.openxmlformats.org/officeDocument/2006/relationships/hyperlink" Target="https://aleen.cc/Upload/156/details.pdf" TargetMode="External"/><Relationship Id="rId15" Type="http://schemas.openxmlformats.org/officeDocument/2006/relationships/hyperlink" Target="https://drive.google.com/file/d/193nD9209yLCEkuvipRKig80B_3Mc39EB/view?usp=sharing" TargetMode="External"/><Relationship Id="rId14" Type="http://schemas.openxmlformats.org/officeDocument/2006/relationships/hyperlink" Target="https://maps.app.goo.gl/v3gDHhxP3SsNPscp7" TargetMode="External"/><Relationship Id="rId58" Type="http://schemas.openxmlformats.org/officeDocument/2006/relationships/drawing" Target="../drawings/drawing4.xml"/><Relationship Id="rId17" Type="http://schemas.openxmlformats.org/officeDocument/2006/relationships/hyperlink" Target="https://maps.app.goo.gl/5yYbPMnuG8Xk46Kf8?g_st=ipc" TargetMode="External"/><Relationship Id="rId16" Type="http://schemas.openxmlformats.org/officeDocument/2006/relationships/hyperlink" Target="https://goo.gl/maps/fbK93s6v1kVooZMVA" TargetMode="External"/><Relationship Id="rId19" Type="http://schemas.openxmlformats.org/officeDocument/2006/relationships/hyperlink" Target="https://www.google.com/maps/place/24%C2%B046'18.9%22N+46%C2%B037'56.3%22E/@24.7719167,46.6323056,1376m/data=!3m2!1e3!4b1!4m4!3m3!8m2!3d24.7719167!4d46.6323056!5m1!1e1?authuser=0&amp;entry=tts&amp;g_ep=EgoyMDI1MDYyMy4yIPu8ASoASAFQAw%3D%3D&amp;skid=06f74f57-7ddc-40a6-9eae-6803a2eeab30" TargetMode="External"/><Relationship Id="rId18" Type="http://schemas.openxmlformats.org/officeDocument/2006/relationships/hyperlink" Target="https://maps.app.goo.gl/KhDLpCiJxxoQ1rnf8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aleen.cc/Upload/130/details.pdf" TargetMode="External"/><Relationship Id="rId194" Type="http://schemas.openxmlformats.org/officeDocument/2006/relationships/hyperlink" Target="https://aleen.cc/Upload/130/details.pdf" TargetMode="External"/><Relationship Id="rId193" Type="http://schemas.openxmlformats.org/officeDocument/2006/relationships/hyperlink" Target="https://aleen.cc/Upload/130/details.pdf" TargetMode="External"/><Relationship Id="rId192" Type="http://schemas.openxmlformats.org/officeDocument/2006/relationships/hyperlink" Target="https://aleen.cc/Upload/130/details.pdf" TargetMode="External"/><Relationship Id="rId191" Type="http://schemas.openxmlformats.org/officeDocument/2006/relationships/hyperlink" Target="https://aleen.cc/Upload/130/details.pdf" TargetMode="External"/><Relationship Id="rId187" Type="http://schemas.openxmlformats.org/officeDocument/2006/relationships/hyperlink" Target="https://aleen.cc/Upload/130/details.pdf" TargetMode="External"/><Relationship Id="rId186" Type="http://schemas.openxmlformats.org/officeDocument/2006/relationships/hyperlink" Target="https://aleen.cc/Upload/130/details.pdf" TargetMode="External"/><Relationship Id="rId185" Type="http://schemas.openxmlformats.org/officeDocument/2006/relationships/hyperlink" Target="https://aleen.cc/Upload/130/details.pdf" TargetMode="External"/><Relationship Id="rId184" Type="http://schemas.openxmlformats.org/officeDocument/2006/relationships/hyperlink" Target="https://aleen.cc/Upload/130/details.pdf" TargetMode="External"/><Relationship Id="rId189" Type="http://schemas.openxmlformats.org/officeDocument/2006/relationships/hyperlink" Target="https://aleen.cc/Upload/130/details.pdf" TargetMode="External"/><Relationship Id="rId188" Type="http://schemas.openxmlformats.org/officeDocument/2006/relationships/hyperlink" Target="https://aleen.cc/Upload/130/details.pdf" TargetMode="External"/><Relationship Id="rId183" Type="http://schemas.openxmlformats.org/officeDocument/2006/relationships/hyperlink" Target="https://aleen.cc/Upload/130/details.pdf" TargetMode="External"/><Relationship Id="rId182" Type="http://schemas.openxmlformats.org/officeDocument/2006/relationships/hyperlink" Target="https://aleen.cc/Upload/126/details.pdf" TargetMode="External"/><Relationship Id="rId181" Type="http://schemas.openxmlformats.org/officeDocument/2006/relationships/hyperlink" Target="https://aleen.cc/Upload/126/details.pdf" TargetMode="External"/><Relationship Id="rId180" Type="http://schemas.openxmlformats.org/officeDocument/2006/relationships/hyperlink" Target="https://aleen.cc/Upload/126/details.pdf" TargetMode="External"/><Relationship Id="rId176" Type="http://schemas.openxmlformats.org/officeDocument/2006/relationships/hyperlink" Target="https://aleen.cc/Upload/126/details.pdf" TargetMode="External"/><Relationship Id="rId297" Type="http://schemas.openxmlformats.org/officeDocument/2006/relationships/hyperlink" Target="https://aleen.cc/Upload/140/details.pdf" TargetMode="External"/><Relationship Id="rId175" Type="http://schemas.openxmlformats.org/officeDocument/2006/relationships/hyperlink" Target="https://aleen.cc/Upload/126/details.pdf" TargetMode="External"/><Relationship Id="rId296" Type="http://schemas.openxmlformats.org/officeDocument/2006/relationships/hyperlink" Target="https://aleen.cc/Upload/140/details.pdf" TargetMode="External"/><Relationship Id="rId174" Type="http://schemas.openxmlformats.org/officeDocument/2006/relationships/hyperlink" Target="https://aleen.cc/Upload/126/details.pdf" TargetMode="External"/><Relationship Id="rId295" Type="http://schemas.openxmlformats.org/officeDocument/2006/relationships/hyperlink" Target="https://aleen.cc/Upload/140/details.pdf" TargetMode="External"/><Relationship Id="rId173" Type="http://schemas.openxmlformats.org/officeDocument/2006/relationships/hyperlink" Target="https://aleen.cc/Upload/126/details.pdf" TargetMode="External"/><Relationship Id="rId294" Type="http://schemas.openxmlformats.org/officeDocument/2006/relationships/hyperlink" Target="https://aleen.cc/Upload/140/details.pdf" TargetMode="External"/><Relationship Id="rId179" Type="http://schemas.openxmlformats.org/officeDocument/2006/relationships/hyperlink" Target="https://aleen.cc/Upload/126/details.pdf" TargetMode="External"/><Relationship Id="rId178" Type="http://schemas.openxmlformats.org/officeDocument/2006/relationships/hyperlink" Target="https://aleen.cc/Upload/126/details.pdf" TargetMode="External"/><Relationship Id="rId299" Type="http://schemas.openxmlformats.org/officeDocument/2006/relationships/hyperlink" Target="https://aleen.cc/Upload/140/details.pdf" TargetMode="External"/><Relationship Id="rId177" Type="http://schemas.openxmlformats.org/officeDocument/2006/relationships/hyperlink" Target="https://aleen.cc/Upload/126/details.pdf" TargetMode="External"/><Relationship Id="rId298" Type="http://schemas.openxmlformats.org/officeDocument/2006/relationships/hyperlink" Target="https://aleen.cc/Upload/140/details.pdf" TargetMode="External"/><Relationship Id="rId198" Type="http://schemas.openxmlformats.org/officeDocument/2006/relationships/hyperlink" Target="https://aleen.cc/Upload/130/details.pdf" TargetMode="External"/><Relationship Id="rId197" Type="http://schemas.openxmlformats.org/officeDocument/2006/relationships/hyperlink" Target="https://aleen.cc/Upload/130/details.pdf" TargetMode="External"/><Relationship Id="rId196" Type="http://schemas.openxmlformats.org/officeDocument/2006/relationships/hyperlink" Target="https://aleen.cc/Upload/130/details.pdf" TargetMode="External"/><Relationship Id="rId195" Type="http://schemas.openxmlformats.org/officeDocument/2006/relationships/hyperlink" Target="https://aleen.cc/Upload/130/details.pdf" TargetMode="External"/><Relationship Id="rId199" Type="http://schemas.openxmlformats.org/officeDocument/2006/relationships/hyperlink" Target="https://aleen.cc/Upload/130/details.pdf" TargetMode="External"/><Relationship Id="rId150" Type="http://schemas.openxmlformats.org/officeDocument/2006/relationships/hyperlink" Target="https://maps.app.goo.gl/KhDLpCiJxxoQ1rnf8" TargetMode="External"/><Relationship Id="rId271" Type="http://schemas.openxmlformats.org/officeDocument/2006/relationships/hyperlink" Target="https://aleen.cc/Upload/132/details.pdf" TargetMode="External"/><Relationship Id="rId392" Type="http://schemas.openxmlformats.org/officeDocument/2006/relationships/hyperlink" Target="https://maps.app.goo.gl/qdVJ5JZA2bqzGZVr6" TargetMode="External"/><Relationship Id="rId270" Type="http://schemas.openxmlformats.org/officeDocument/2006/relationships/hyperlink" Target="https://aleen.cc/Upload/132/details.pdf" TargetMode="External"/><Relationship Id="rId391" Type="http://schemas.openxmlformats.org/officeDocument/2006/relationships/hyperlink" Target="https://maps.app.goo.gl/qdVJ5JZA2bqzGZVr6" TargetMode="External"/><Relationship Id="rId390" Type="http://schemas.openxmlformats.org/officeDocument/2006/relationships/hyperlink" Target="https://maps.app.goo.gl/qdVJ5JZA2bqzGZVr6" TargetMode="External"/><Relationship Id="rId1" Type="http://schemas.openxmlformats.org/officeDocument/2006/relationships/hyperlink" Target="https://maps.app.goo.gl/VQzCjvzJ9MfCPR7U9" TargetMode="External"/><Relationship Id="rId2" Type="http://schemas.openxmlformats.org/officeDocument/2006/relationships/hyperlink" Target="https://maps.app.goo.gl/VQzCjvzJ9MfCPR7U9" TargetMode="External"/><Relationship Id="rId3" Type="http://schemas.openxmlformats.org/officeDocument/2006/relationships/hyperlink" Target="https://maps.app.goo.gl/VQzCjvzJ9MfCPR7U9" TargetMode="External"/><Relationship Id="rId149" Type="http://schemas.openxmlformats.org/officeDocument/2006/relationships/hyperlink" Target="https://maps.app.goo.gl/KhDLpCiJxxoQ1rnf8" TargetMode="External"/><Relationship Id="rId4" Type="http://schemas.openxmlformats.org/officeDocument/2006/relationships/hyperlink" Target="https://maps.app.goo.gl/VQzCjvzJ9MfCPR7U9" TargetMode="External"/><Relationship Id="rId148" Type="http://schemas.openxmlformats.org/officeDocument/2006/relationships/hyperlink" Target="https://maps.app.goo.gl/KhDLpCiJxxoQ1rnf8" TargetMode="External"/><Relationship Id="rId269" Type="http://schemas.openxmlformats.org/officeDocument/2006/relationships/hyperlink" Target="https://aleen.cc/Upload/132/details.pdf" TargetMode="External"/><Relationship Id="rId9" Type="http://schemas.openxmlformats.org/officeDocument/2006/relationships/hyperlink" Target="https://maps.app.goo.gl/HbNqmyyW7a6zVxRs7?g_st=ipc" TargetMode="External"/><Relationship Id="rId143" Type="http://schemas.openxmlformats.org/officeDocument/2006/relationships/hyperlink" Target="https://maps.app.goo.gl/KhDLpCiJxxoQ1rnf8" TargetMode="External"/><Relationship Id="rId264" Type="http://schemas.openxmlformats.org/officeDocument/2006/relationships/hyperlink" Target="https://aleen.cc/Upload/132/details.pdf" TargetMode="External"/><Relationship Id="rId385" Type="http://schemas.openxmlformats.org/officeDocument/2006/relationships/hyperlink" Target="https://maps.app.goo.gl/qdVJ5JZA2bqzGZVr6" TargetMode="External"/><Relationship Id="rId142" Type="http://schemas.openxmlformats.org/officeDocument/2006/relationships/hyperlink" Target="https://maps.app.goo.gl/KhDLpCiJxxoQ1rnf8" TargetMode="External"/><Relationship Id="rId263" Type="http://schemas.openxmlformats.org/officeDocument/2006/relationships/hyperlink" Target="https://aleen.cc/Upload/128/details.pdf" TargetMode="External"/><Relationship Id="rId384" Type="http://schemas.openxmlformats.org/officeDocument/2006/relationships/hyperlink" Target="https://maps.app.goo.gl/qdVJ5JZA2bqzGZVr6" TargetMode="External"/><Relationship Id="rId141" Type="http://schemas.openxmlformats.org/officeDocument/2006/relationships/hyperlink" Target="https://maps.app.goo.gl/KhDLpCiJxxoQ1rnf8" TargetMode="External"/><Relationship Id="rId262" Type="http://schemas.openxmlformats.org/officeDocument/2006/relationships/hyperlink" Target="https://aleen.cc/Upload/128/details.pdf" TargetMode="External"/><Relationship Id="rId383" Type="http://schemas.openxmlformats.org/officeDocument/2006/relationships/hyperlink" Target="https://maps.app.goo.gl/qdVJ5JZA2bqzGZVr6" TargetMode="External"/><Relationship Id="rId140" Type="http://schemas.openxmlformats.org/officeDocument/2006/relationships/hyperlink" Target="https://maps.app.goo.gl/KhDLpCiJxxoQ1rnf8" TargetMode="External"/><Relationship Id="rId261" Type="http://schemas.openxmlformats.org/officeDocument/2006/relationships/hyperlink" Target="https://aleen.cc/Upload/128/details.pdf" TargetMode="External"/><Relationship Id="rId382" Type="http://schemas.openxmlformats.org/officeDocument/2006/relationships/hyperlink" Target="https://maps.app.goo.gl/qdVJ5JZA2bqzGZVr6" TargetMode="External"/><Relationship Id="rId5" Type="http://schemas.openxmlformats.org/officeDocument/2006/relationships/hyperlink" Target="https://maps.app.goo.gl/VQzCjvzJ9MfCPR7U9" TargetMode="External"/><Relationship Id="rId147" Type="http://schemas.openxmlformats.org/officeDocument/2006/relationships/hyperlink" Target="https://maps.app.goo.gl/KhDLpCiJxxoQ1rnf8" TargetMode="External"/><Relationship Id="rId268" Type="http://schemas.openxmlformats.org/officeDocument/2006/relationships/hyperlink" Target="https://aleen.cc/Upload/132/details.pdf" TargetMode="External"/><Relationship Id="rId389" Type="http://schemas.openxmlformats.org/officeDocument/2006/relationships/hyperlink" Target="https://maps.app.goo.gl/qdVJ5JZA2bqzGZVr6" TargetMode="External"/><Relationship Id="rId6" Type="http://schemas.openxmlformats.org/officeDocument/2006/relationships/hyperlink" Target="https://maps.app.goo.gl/VQzCjvzJ9MfCPR7U9" TargetMode="External"/><Relationship Id="rId146" Type="http://schemas.openxmlformats.org/officeDocument/2006/relationships/hyperlink" Target="https://maps.app.goo.gl/KhDLpCiJxxoQ1rnf8" TargetMode="External"/><Relationship Id="rId267" Type="http://schemas.openxmlformats.org/officeDocument/2006/relationships/hyperlink" Target="https://aleen.cc/Upload/132/details.pdf" TargetMode="External"/><Relationship Id="rId388" Type="http://schemas.openxmlformats.org/officeDocument/2006/relationships/hyperlink" Target="https://maps.app.goo.gl/qdVJ5JZA2bqzGZVr6" TargetMode="External"/><Relationship Id="rId7" Type="http://schemas.openxmlformats.org/officeDocument/2006/relationships/hyperlink" Target="https://maps.app.goo.gl/HbNqmyyW7a6zVxRs7?g_st=ipc" TargetMode="External"/><Relationship Id="rId145" Type="http://schemas.openxmlformats.org/officeDocument/2006/relationships/hyperlink" Target="https://maps.app.goo.gl/KhDLpCiJxxoQ1rnf8" TargetMode="External"/><Relationship Id="rId266" Type="http://schemas.openxmlformats.org/officeDocument/2006/relationships/hyperlink" Target="https://aleen.cc/Upload/132/details.pdf" TargetMode="External"/><Relationship Id="rId387" Type="http://schemas.openxmlformats.org/officeDocument/2006/relationships/hyperlink" Target="https://maps.app.goo.gl/qdVJ5JZA2bqzGZVr6" TargetMode="External"/><Relationship Id="rId8" Type="http://schemas.openxmlformats.org/officeDocument/2006/relationships/hyperlink" Target="https://maps.app.goo.gl/HbNqmyyW7a6zVxRs7?g_st=ipc" TargetMode="External"/><Relationship Id="rId144" Type="http://schemas.openxmlformats.org/officeDocument/2006/relationships/hyperlink" Target="https://maps.app.goo.gl/KhDLpCiJxxoQ1rnf8" TargetMode="External"/><Relationship Id="rId265" Type="http://schemas.openxmlformats.org/officeDocument/2006/relationships/hyperlink" Target="https://aleen.cc/Upload/132/details.pdf" TargetMode="External"/><Relationship Id="rId386" Type="http://schemas.openxmlformats.org/officeDocument/2006/relationships/hyperlink" Target="https://maps.app.goo.gl/qdVJ5JZA2bqzGZVr6" TargetMode="External"/><Relationship Id="rId260" Type="http://schemas.openxmlformats.org/officeDocument/2006/relationships/hyperlink" Target="https://aleen.cc/Upload/128/details.pdf" TargetMode="External"/><Relationship Id="rId381" Type="http://schemas.openxmlformats.org/officeDocument/2006/relationships/hyperlink" Target="https://maps.app.goo.gl/qdVJ5JZA2bqzGZVr6" TargetMode="External"/><Relationship Id="rId380" Type="http://schemas.openxmlformats.org/officeDocument/2006/relationships/hyperlink" Target="https://maps.app.goo.gl/qdVJ5JZA2bqzGZVr6" TargetMode="External"/><Relationship Id="rId139" Type="http://schemas.openxmlformats.org/officeDocument/2006/relationships/hyperlink" Target="https://maps.app.goo.gl/KhDLpCiJxxoQ1rnf8" TargetMode="External"/><Relationship Id="rId138" Type="http://schemas.openxmlformats.org/officeDocument/2006/relationships/hyperlink" Target="https://maps.app.goo.gl/KhDLpCiJxxoQ1rnf8" TargetMode="External"/><Relationship Id="rId259" Type="http://schemas.openxmlformats.org/officeDocument/2006/relationships/hyperlink" Target="https://aleen.cc/Upload/128/details.pdf" TargetMode="External"/><Relationship Id="rId137" Type="http://schemas.openxmlformats.org/officeDocument/2006/relationships/hyperlink" Target="https://maps.app.goo.gl/KhDLpCiJxxoQ1rnf8" TargetMode="External"/><Relationship Id="rId258" Type="http://schemas.openxmlformats.org/officeDocument/2006/relationships/hyperlink" Target="https://aleen.cc/Upload/128/details.pdf" TargetMode="External"/><Relationship Id="rId379" Type="http://schemas.openxmlformats.org/officeDocument/2006/relationships/hyperlink" Target="https://maps.app.goo.gl/qdVJ5JZA2bqzGZVr6" TargetMode="External"/><Relationship Id="rId132" Type="http://schemas.openxmlformats.org/officeDocument/2006/relationships/hyperlink" Target="https://maps.app.goo.gl/KhDLpCiJxxoQ1rnf8" TargetMode="External"/><Relationship Id="rId253" Type="http://schemas.openxmlformats.org/officeDocument/2006/relationships/hyperlink" Target="https://aleen.cc/Upload/118/details.pdf" TargetMode="External"/><Relationship Id="rId374" Type="http://schemas.openxmlformats.org/officeDocument/2006/relationships/hyperlink" Target="https://maps.app.goo.gl/qdVJ5JZA2bqzGZVr6" TargetMode="External"/><Relationship Id="rId495" Type="http://schemas.openxmlformats.org/officeDocument/2006/relationships/hyperlink" Target="https://maps.app.goo.gl/qdVJ5JZA2bqzGZVr6" TargetMode="External"/><Relationship Id="rId131" Type="http://schemas.openxmlformats.org/officeDocument/2006/relationships/hyperlink" Target="https://maps.app.goo.gl/KhDLpCiJxxoQ1rnf8" TargetMode="External"/><Relationship Id="rId252" Type="http://schemas.openxmlformats.org/officeDocument/2006/relationships/hyperlink" Target="https://aleen.cc/Upload/118/details.pdf" TargetMode="External"/><Relationship Id="rId373" Type="http://schemas.openxmlformats.org/officeDocument/2006/relationships/hyperlink" Target="https://maps.app.goo.gl/qdVJ5JZA2bqzGZVr6" TargetMode="External"/><Relationship Id="rId494" Type="http://schemas.openxmlformats.org/officeDocument/2006/relationships/hyperlink" Target="https://maps.app.goo.gl/qdVJ5JZA2bqzGZVr6" TargetMode="External"/><Relationship Id="rId130" Type="http://schemas.openxmlformats.org/officeDocument/2006/relationships/hyperlink" Target="https://maps.app.goo.gl/KhDLpCiJxxoQ1rnf8" TargetMode="External"/><Relationship Id="rId251" Type="http://schemas.openxmlformats.org/officeDocument/2006/relationships/hyperlink" Target="https://aleen.cc/Upload/118/details.pdf" TargetMode="External"/><Relationship Id="rId372" Type="http://schemas.openxmlformats.org/officeDocument/2006/relationships/hyperlink" Target="https://maps.app.goo.gl/qdVJ5JZA2bqzGZVr6" TargetMode="External"/><Relationship Id="rId493" Type="http://schemas.openxmlformats.org/officeDocument/2006/relationships/hyperlink" Target="https://maps.app.goo.gl/qdVJ5JZA2bqzGZVr6" TargetMode="External"/><Relationship Id="rId250" Type="http://schemas.openxmlformats.org/officeDocument/2006/relationships/hyperlink" Target="https://aleen.cc/Upload/118/details.pdf" TargetMode="External"/><Relationship Id="rId371" Type="http://schemas.openxmlformats.org/officeDocument/2006/relationships/hyperlink" Target="https://maps.app.goo.gl/qdVJ5JZA2bqzGZVr6" TargetMode="External"/><Relationship Id="rId492" Type="http://schemas.openxmlformats.org/officeDocument/2006/relationships/hyperlink" Target="https://maps.app.goo.gl/qdVJ5JZA2bqzGZVr6" TargetMode="External"/><Relationship Id="rId136" Type="http://schemas.openxmlformats.org/officeDocument/2006/relationships/hyperlink" Target="https://maps.app.goo.gl/KhDLpCiJxxoQ1rnf8" TargetMode="External"/><Relationship Id="rId257" Type="http://schemas.openxmlformats.org/officeDocument/2006/relationships/hyperlink" Target="https://aleen.cc/Upload/124/details.pdf" TargetMode="External"/><Relationship Id="rId378" Type="http://schemas.openxmlformats.org/officeDocument/2006/relationships/hyperlink" Target="https://maps.app.goo.gl/qdVJ5JZA2bqzGZVr6" TargetMode="External"/><Relationship Id="rId499" Type="http://schemas.openxmlformats.org/officeDocument/2006/relationships/hyperlink" Target="https://maps.app.goo.gl/qdVJ5JZA2bqzGZVr6" TargetMode="External"/><Relationship Id="rId135" Type="http://schemas.openxmlformats.org/officeDocument/2006/relationships/hyperlink" Target="https://maps.app.goo.gl/KhDLpCiJxxoQ1rnf8" TargetMode="External"/><Relationship Id="rId256" Type="http://schemas.openxmlformats.org/officeDocument/2006/relationships/hyperlink" Target="https://aleen.cc/Upload/124/details.pdf" TargetMode="External"/><Relationship Id="rId377" Type="http://schemas.openxmlformats.org/officeDocument/2006/relationships/hyperlink" Target="https://maps.app.goo.gl/qdVJ5JZA2bqzGZVr6" TargetMode="External"/><Relationship Id="rId498" Type="http://schemas.openxmlformats.org/officeDocument/2006/relationships/hyperlink" Target="https://maps.app.goo.gl/qdVJ5JZA2bqzGZVr6" TargetMode="External"/><Relationship Id="rId134" Type="http://schemas.openxmlformats.org/officeDocument/2006/relationships/hyperlink" Target="https://maps.app.goo.gl/KhDLpCiJxxoQ1rnf8" TargetMode="External"/><Relationship Id="rId255" Type="http://schemas.openxmlformats.org/officeDocument/2006/relationships/hyperlink" Target="https://aleen.cc/Upload/124/details.pdf" TargetMode="External"/><Relationship Id="rId376" Type="http://schemas.openxmlformats.org/officeDocument/2006/relationships/hyperlink" Target="https://maps.app.goo.gl/qdVJ5JZA2bqzGZVr6" TargetMode="External"/><Relationship Id="rId497" Type="http://schemas.openxmlformats.org/officeDocument/2006/relationships/hyperlink" Target="https://maps.app.goo.gl/qdVJ5JZA2bqzGZVr6" TargetMode="External"/><Relationship Id="rId133" Type="http://schemas.openxmlformats.org/officeDocument/2006/relationships/hyperlink" Target="https://maps.app.goo.gl/KhDLpCiJxxoQ1rnf8" TargetMode="External"/><Relationship Id="rId254" Type="http://schemas.openxmlformats.org/officeDocument/2006/relationships/hyperlink" Target="https://aleen.cc/Upload/124/details.pdf" TargetMode="External"/><Relationship Id="rId375" Type="http://schemas.openxmlformats.org/officeDocument/2006/relationships/hyperlink" Target="https://maps.app.goo.gl/qdVJ5JZA2bqzGZVr6" TargetMode="External"/><Relationship Id="rId496" Type="http://schemas.openxmlformats.org/officeDocument/2006/relationships/hyperlink" Target="https://maps.app.goo.gl/qdVJ5JZA2bqzGZVr6" TargetMode="External"/><Relationship Id="rId172" Type="http://schemas.openxmlformats.org/officeDocument/2006/relationships/hyperlink" Target="https://aleen.cc/Upload/122/details.pdf" TargetMode="External"/><Relationship Id="rId293" Type="http://schemas.openxmlformats.org/officeDocument/2006/relationships/hyperlink" Target="https://aleen.cc/Upload/140/details.pdf" TargetMode="External"/><Relationship Id="rId171" Type="http://schemas.openxmlformats.org/officeDocument/2006/relationships/hyperlink" Target="https://aleen.cc/Upload/122/details.pdf" TargetMode="External"/><Relationship Id="rId292" Type="http://schemas.openxmlformats.org/officeDocument/2006/relationships/hyperlink" Target="https://aleen.cc/Upload/140/details.pdf" TargetMode="External"/><Relationship Id="rId170" Type="http://schemas.openxmlformats.org/officeDocument/2006/relationships/hyperlink" Target="https://aleen.cc/Upload/122/details.pdf" TargetMode="External"/><Relationship Id="rId291" Type="http://schemas.openxmlformats.org/officeDocument/2006/relationships/hyperlink" Target="https://aleen.cc/Upload/140/details.pdf" TargetMode="External"/><Relationship Id="rId290" Type="http://schemas.openxmlformats.org/officeDocument/2006/relationships/hyperlink" Target="https://aleen.cc/Upload/136/details.pdf" TargetMode="External"/><Relationship Id="rId165" Type="http://schemas.openxmlformats.org/officeDocument/2006/relationships/hyperlink" Target="https://aleen.cc/Upload/122/details.pdf" TargetMode="External"/><Relationship Id="rId286" Type="http://schemas.openxmlformats.org/officeDocument/2006/relationships/hyperlink" Target="https://aleen.cc/Upload/136/details.pdf" TargetMode="External"/><Relationship Id="rId164" Type="http://schemas.openxmlformats.org/officeDocument/2006/relationships/hyperlink" Target="https://aleen.cc/Upload/112/details.pdf" TargetMode="External"/><Relationship Id="rId285" Type="http://schemas.openxmlformats.org/officeDocument/2006/relationships/hyperlink" Target="https://aleen.cc/Upload/136/details.pdf" TargetMode="External"/><Relationship Id="rId163" Type="http://schemas.openxmlformats.org/officeDocument/2006/relationships/hyperlink" Target="https://aleen.cc/Upload/112/details.pdf" TargetMode="External"/><Relationship Id="rId284" Type="http://schemas.openxmlformats.org/officeDocument/2006/relationships/hyperlink" Target="https://aleen.cc/Upload/136/details.pdf" TargetMode="External"/><Relationship Id="rId162" Type="http://schemas.openxmlformats.org/officeDocument/2006/relationships/hyperlink" Target="https://aleen.cc/Upload/112/details.pdf" TargetMode="External"/><Relationship Id="rId283" Type="http://schemas.openxmlformats.org/officeDocument/2006/relationships/hyperlink" Target="https://aleen.cc/Upload/136/details.pdf" TargetMode="External"/><Relationship Id="rId169" Type="http://schemas.openxmlformats.org/officeDocument/2006/relationships/hyperlink" Target="https://aleen.cc/Upload/122/details.pdf" TargetMode="External"/><Relationship Id="rId168" Type="http://schemas.openxmlformats.org/officeDocument/2006/relationships/hyperlink" Target="https://aleen.cc/Upload/122/details.pdf" TargetMode="External"/><Relationship Id="rId289" Type="http://schemas.openxmlformats.org/officeDocument/2006/relationships/hyperlink" Target="https://aleen.cc/Upload/136/details.pdf" TargetMode="External"/><Relationship Id="rId167" Type="http://schemas.openxmlformats.org/officeDocument/2006/relationships/hyperlink" Target="https://aleen.cc/Upload/122/details.pdf" TargetMode="External"/><Relationship Id="rId288" Type="http://schemas.openxmlformats.org/officeDocument/2006/relationships/hyperlink" Target="https://aleen.cc/Upload/136/details.pdf" TargetMode="External"/><Relationship Id="rId166" Type="http://schemas.openxmlformats.org/officeDocument/2006/relationships/hyperlink" Target="https://aleen.cc/Upload/122/details.pdf" TargetMode="External"/><Relationship Id="rId287" Type="http://schemas.openxmlformats.org/officeDocument/2006/relationships/hyperlink" Target="https://aleen.cc/Upload/136/details.pdf" TargetMode="External"/><Relationship Id="rId161" Type="http://schemas.openxmlformats.org/officeDocument/2006/relationships/hyperlink" Target="https://aleen.cc/Upload/112/details.pdf" TargetMode="External"/><Relationship Id="rId282" Type="http://schemas.openxmlformats.org/officeDocument/2006/relationships/hyperlink" Target="https://aleen.cc/Upload/136/details.pdf" TargetMode="External"/><Relationship Id="rId160" Type="http://schemas.openxmlformats.org/officeDocument/2006/relationships/hyperlink" Target="https://aleen.cc/Upload/112/details.pdf" TargetMode="External"/><Relationship Id="rId281" Type="http://schemas.openxmlformats.org/officeDocument/2006/relationships/hyperlink" Target="https://aleen.cc/Upload/136/details.pdf" TargetMode="External"/><Relationship Id="rId280" Type="http://schemas.openxmlformats.org/officeDocument/2006/relationships/hyperlink" Target="https://aleen.cc/Upload/136/details.pdf" TargetMode="External"/><Relationship Id="rId159" Type="http://schemas.openxmlformats.org/officeDocument/2006/relationships/hyperlink" Target="https://aleen.cc/Upload/112/details.pdf" TargetMode="External"/><Relationship Id="rId154" Type="http://schemas.openxmlformats.org/officeDocument/2006/relationships/hyperlink" Target="https://aleen.cc/Upload/102/details.pdf" TargetMode="External"/><Relationship Id="rId275" Type="http://schemas.openxmlformats.org/officeDocument/2006/relationships/hyperlink" Target="https://aleen.cc/Upload/132/details.pdf" TargetMode="External"/><Relationship Id="rId396" Type="http://schemas.openxmlformats.org/officeDocument/2006/relationships/hyperlink" Target="https://maps.app.goo.gl/qdVJ5JZA2bqzGZVr6" TargetMode="External"/><Relationship Id="rId153" Type="http://schemas.openxmlformats.org/officeDocument/2006/relationships/hyperlink" Target="https://aleen.cc/Upload/102/details.pdf" TargetMode="External"/><Relationship Id="rId274" Type="http://schemas.openxmlformats.org/officeDocument/2006/relationships/hyperlink" Target="https://aleen.cc/Upload/132/details.pdf" TargetMode="External"/><Relationship Id="rId395" Type="http://schemas.openxmlformats.org/officeDocument/2006/relationships/hyperlink" Target="https://maps.app.goo.gl/qdVJ5JZA2bqzGZVr6" TargetMode="External"/><Relationship Id="rId152" Type="http://schemas.openxmlformats.org/officeDocument/2006/relationships/hyperlink" Target="https://aleen.cc/Upload/88/details.pdf" TargetMode="External"/><Relationship Id="rId273" Type="http://schemas.openxmlformats.org/officeDocument/2006/relationships/hyperlink" Target="https://aleen.cc/Upload/132/details.pdf" TargetMode="External"/><Relationship Id="rId394" Type="http://schemas.openxmlformats.org/officeDocument/2006/relationships/hyperlink" Target="https://maps.app.goo.gl/qdVJ5JZA2bqzGZVr6" TargetMode="External"/><Relationship Id="rId151" Type="http://schemas.openxmlformats.org/officeDocument/2006/relationships/hyperlink" Target="https://maps.app.goo.gl/KhDLpCiJxxoQ1rnf8" TargetMode="External"/><Relationship Id="rId272" Type="http://schemas.openxmlformats.org/officeDocument/2006/relationships/hyperlink" Target="https://aleen.cc/Upload/132/details.pdf" TargetMode="External"/><Relationship Id="rId393" Type="http://schemas.openxmlformats.org/officeDocument/2006/relationships/hyperlink" Target="https://maps.app.goo.gl/qdVJ5JZA2bqzGZVr6" TargetMode="External"/><Relationship Id="rId158" Type="http://schemas.openxmlformats.org/officeDocument/2006/relationships/hyperlink" Target="https://aleen.cc/Upload/112/details.pdf" TargetMode="External"/><Relationship Id="rId279" Type="http://schemas.openxmlformats.org/officeDocument/2006/relationships/hyperlink" Target="https://aleen.cc/Upload/136/details.pdf" TargetMode="External"/><Relationship Id="rId157" Type="http://schemas.openxmlformats.org/officeDocument/2006/relationships/hyperlink" Target="https://aleen.cc/Upload/104/details.pdf" TargetMode="External"/><Relationship Id="rId278" Type="http://schemas.openxmlformats.org/officeDocument/2006/relationships/hyperlink" Target="https://aleen.cc/Upload/132/details.pdf" TargetMode="External"/><Relationship Id="rId399" Type="http://schemas.openxmlformats.org/officeDocument/2006/relationships/hyperlink" Target="https://maps.app.goo.gl/qdVJ5JZA2bqzGZVr6" TargetMode="External"/><Relationship Id="rId156" Type="http://schemas.openxmlformats.org/officeDocument/2006/relationships/hyperlink" Target="https://aleen.cc/Upload/104/details.pdf" TargetMode="External"/><Relationship Id="rId277" Type="http://schemas.openxmlformats.org/officeDocument/2006/relationships/hyperlink" Target="https://aleen.cc/Upload/132/details.pdf" TargetMode="External"/><Relationship Id="rId398" Type="http://schemas.openxmlformats.org/officeDocument/2006/relationships/hyperlink" Target="https://maps.app.goo.gl/qdVJ5JZA2bqzGZVr6" TargetMode="External"/><Relationship Id="rId155" Type="http://schemas.openxmlformats.org/officeDocument/2006/relationships/hyperlink" Target="https://aleen.cc/Upload/104/details.pdf" TargetMode="External"/><Relationship Id="rId276" Type="http://schemas.openxmlformats.org/officeDocument/2006/relationships/hyperlink" Target="https://aleen.cc/Upload/132/details.pdf" TargetMode="External"/><Relationship Id="rId397" Type="http://schemas.openxmlformats.org/officeDocument/2006/relationships/hyperlink" Target="https://maps.app.goo.gl/qdVJ5JZA2bqzGZVr6" TargetMode="External"/><Relationship Id="rId40" Type="http://schemas.openxmlformats.org/officeDocument/2006/relationships/hyperlink" Target="https://drive.google.com/file/d/1sTQUnb6NbxtZZujbgrTPR80Ha-yaOD9T/view?usp=sharing" TargetMode="External"/><Relationship Id="rId42" Type="http://schemas.openxmlformats.org/officeDocument/2006/relationships/hyperlink" Target="https://drive.google.com/file/d/1sTQUnb6NbxtZZujbgrTPR80Ha-yaOD9T/view?usp=sharing" TargetMode="External"/><Relationship Id="rId41" Type="http://schemas.openxmlformats.org/officeDocument/2006/relationships/hyperlink" Target="https://maps.app.goo.gl/qsJppfPit9RN8sY98" TargetMode="External"/><Relationship Id="rId44" Type="http://schemas.openxmlformats.org/officeDocument/2006/relationships/hyperlink" Target="https://drive.google.com/file/d/1sTQUnb6NbxtZZujbgrTPR80Ha-yaOD9T/view?usp=sharing" TargetMode="External"/><Relationship Id="rId43" Type="http://schemas.openxmlformats.org/officeDocument/2006/relationships/hyperlink" Target="https://maps.app.goo.gl/qsJppfPit9RN8sY98" TargetMode="External"/><Relationship Id="rId46" Type="http://schemas.openxmlformats.org/officeDocument/2006/relationships/hyperlink" Target="https://drive.google.com/file/d/1sTQUnb6NbxtZZujbgrTPR80Ha-yaOD9T/view?usp=sharing" TargetMode="External"/><Relationship Id="rId45" Type="http://schemas.openxmlformats.org/officeDocument/2006/relationships/hyperlink" Target="https://maps.app.goo.gl/qsJppfPit9RN8sY98" TargetMode="External"/><Relationship Id="rId509" Type="http://schemas.openxmlformats.org/officeDocument/2006/relationships/hyperlink" Target="https://maps.app.goo.gl/qdVJ5JZA2bqzGZVr6" TargetMode="External"/><Relationship Id="rId508" Type="http://schemas.openxmlformats.org/officeDocument/2006/relationships/hyperlink" Target="https://maps.app.goo.gl/qdVJ5JZA2bqzGZVr6" TargetMode="External"/><Relationship Id="rId503" Type="http://schemas.openxmlformats.org/officeDocument/2006/relationships/hyperlink" Target="https://maps.app.goo.gl/qdVJ5JZA2bqzGZVr6" TargetMode="External"/><Relationship Id="rId502" Type="http://schemas.openxmlformats.org/officeDocument/2006/relationships/hyperlink" Target="https://maps.app.goo.gl/qdVJ5JZA2bqzGZVr6" TargetMode="External"/><Relationship Id="rId501" Type="http://schemas.openxmlformats.org/officeDocument/2006/relationships/hyperlink" Target="https://maps.app.goo.gl/qdVJ5JZA2bqzGZVr6" TargetMode="External"/><Relationship Id="rId500" Type="http://schemas.openxmlformats.org/officeDocument/2006/relationships/hyperlink" Target="https://maps.app.goo.gl/qdVJ5JZA2bqzGZVr6" TargetMode="External"/><Relationship Id="rId507" Type="http://schemas.openxmlformats.org/officeDocument/2006/relationships/hyperlink" Target="https://maps.app.goo.gl/qdVJ5JZA2bqzGZVr6" TargetMode="External"/><Relationship Id="rId506" Type="http://schemas.openxmlformats.org/officeDocument/2006/relationships/hyperlink" Target="https://maps.app.goo.gl/qdVJ5JZA2bqzGZVr6" TargetMode="External"/><Relationship Id="rId505" Type="http://schemas.openxmlformats.org/officeDocument/2006/relationships/hyperlink" Target="https://maps.app.goo.gl/qdVJ5JZA2bqzGZVr6" TargetMode="External"/><Relationship Id="rId504" Type="http://schemas.openxmlformats.org/officeDocument/2006/relationships/hyperlink" Target="https://maps.app.goo.gl/qdVJ5JZA2bqzGZVr6" TargetMode="External"/><Relationship Id="rId48" Type="http://schemas.openxmlformats.org/officeDocument/2006/relationships/hyperlink" Target="https://drive.google.com/file/d/1sTQUnb6NbxtZZujbgrTPR80Ha-yaOD9T/view?usp=sharing" TargetMode="External"/><Relationship Id="rId47" Type="http://schemas.openxmlformats.org/officeDocument/2006/relationships/hyperlink" Target="https://maps.app.goo.gl/qsJppfPit9RN8sY98" TargetMode="External"/><Relationship Id="rId49" Type="http://schemas.openxmlformats.org/officeDocument/2006/relationships/hyperlink" Target="https://maps.app.goo.gl/CMxaMUfvXSi6TrNt5" TargetMode="External"/><Relationship Id="rId31" Type="http://schemas.openxmlformats.org/officeDocument/2006/relationships/hyperlink" Target="https://maps.app.goo.gl/qsJppfPit9RN8sY98" TargetMode="External"/><Relationship Id="rId30" Type="http://schemas.openxmlformats.org/officeDocument/2006/relationships/hyperlink" Target="https://drive.google.com/file/d/1sTQUnb6NbxtZZujbgrTPR80Ha-yaOD9T/view?usp=sharing" TargetMode="External"/><Relationship Id="rId33" Type="http://schemas.openxmlformats.org/officeDocument/2006/relationships/hyperlink" Target="https://maps.app.goo.gl/qsJppfPit9RN8sY98" TargetMode="External"/><Relationship Id="rId32" Type="http://schemas.openxmlformats.org/officeDocument/2006/relationships/hyperlink" Target="https://drive.google.com/file/d/1sTQUnb6NbxtZZujbgrTPR80Ha-yaOD9T/view?usp=sharing" TargetMode="External"/><Relationship Id="rId35" Type="http://schemas.openxmlformats.org/officeDocument/2006/relationships/hyperlink" Target="https://maps.app.goo.gl/qsJppfPit9RN8sY98" TargetMode="External"/><Relationship Id="rId34" Type="http://schemas.openxmlformats.org/officeDocument/2006/relationships/hyperlink" Target="https://drive.google.com/file/d/1sTQUnb6NbxtZZujbgrTPR80Ha-yaOD9T/view?usp=sharing" TargetMode="External"/><Relationship Id="rId37" Type="http://schemas.openxmlformats.org/officeDocument/2006/relationships/hyperlink" Target="https://maps.app.goo.gl/qsJppfPit9RN8sY98" TargetMode="External"/><Relationship Id="rId36" Type="http://schemas.openxmlformats.org/officeDocument/2006/relationships/hyperlink" Target="https://drive.google.com/file/d/1sTQUnb6NbxtZZujbgrTPR80Ha-yaOD9T/view?usp=sharing" TargetMode="External"/><Relationship Id="rId39" Type="http://schemas.openxmlformats.org/officeDocument/2006/relationships/hyperlink" Target="https://maps.app.goo.gl/qsJppfPit9RN8sY98" TargetMode="External"/><Relationship Id="rId38" Type="http://schemas.openxmlformats.org/officeDocument/2006/relationships/hyperlink" Target="https://drive.google.com/file/d/1sTQUnb6NbxtZZujbgrTPR80Ha-yaOD9T/view?usp=sharing" TargetMode="External"/><Relationship Id="rId20" Type="http://schemas.openxmlformats.org/officeDocument/2006/relationships/hyperlink" Target="https://drive.google.com/file/d/1Xo0SvTtoIp6kEkDIlHzR9HH5U9E6AULL/view?usp=sharing" TargetMode="External"/><Relationship Id="rId22" Type="http://schemas.openxmlformats.org/officeDocument/2006/relationships/hyperlink" Target="https://drive.google.com/file/d/1Xo0SvTtoIp6kEkDIlHzR9HH5U9E6AULL/view?usp=sharing" TargetMode="External"/><Relationship Id="rId21" Type="http://schemas.openxmlformats.org/officeDocument/2006/relationships/hyperlink" Target="https://maps.app.goo.gl/oLz5KTAHqTimZF2T9" TargetMode="External"/><Relationship Id="rId24" Type="http://schemas.openxmlformats.org/officeDocument/2006/relationships/hyperlink" Target="https://drive.google.com/file/d/1Xo0SvTtoIp6kEkDIlHzR9HH5U9E6AULL/view?usp=sharing" TargetMode="External"/><Relationship Id="rId23" Type="http://schemas.openxmlformats.org/officeDocument/2006/relationships/hyperlink" Target="https://maps.app.goo.gl/oLz5KTAHqTimZF2T9" TargetMode="External"/><Relationship Id="rId409" Type="http://schemas.openxmlformats.org/officeDocument/2006/relationships/hyperlink" Target="https://maps.app.goo.gl/qdVJ5JZA2bqzGZVr6" TargetMode="External"/><Relationship Id="rId404" Type="http://schemas.openxmlformats.org/officeDocument/2006/relationships/hyperlink" Target="https://maps.app.goo.gl/qdVJ5JZA2bqzGZVr6" TargetMode="External"/><Relationship Id="rId403" Type="http://schemas.openxmlformats.org/officeDocument/2006/relationships/hyperlink" Target="https://maps.app.goo.gl/qdVJ5JZA2bqzGZVr6" TargetMode="External"/><Relationship Id="rId524" Type="http://schemas.openxmlformats.org/officeDocument/2006/relationships/drawing" Target="../drawings/drawing5.xml"/><Relationship Id="rId402" Type="http://schemas.openxmlformats.org/officeDocument/2006/relationships/hyperlink" Target="https://maps.app.goo.gl/qdVJ5JZA2bqzGZVr6" TargetMode="External"/><Relationship Id="rId523" Type="http://schemas.openxmlformats.org/officeDocument/2006/relationships/hyperlink" Target="https://maps.app.goo.gl/qdVJ5JZA2bqzGZVr6" TargetMode="External"/><Relationship Id="rId401" Type="http://schemas.openxmlformats.org/officeDocument/2006/relationships/hyperlink" Target="https://maps.app.goo.gl/qdVJ5JZA2bqzGZVr6" TargetMode="External"/><Relationship Id="rId522" Type="http://schemas.openxmlformats.org/officeDocument/2006/relationships/hyperlink" Target="https://maps.app.goo.gl/qdVJ5JZA2bqzGZVr6" TargetMode="External"/><Relationship Id="rId408" Type="http://schemas.openxmlformats.org/officeDocument/2006/relationships/hyperlink" Target="https://maps.app.goo.gl/qdVJ5JZA2bqzGZVr6" TargetMode="External"/><Relationship Id="rId407" Type="http://schemas.openxmlformats.org/officeDocument/2006/relationships/hyperlink" Target="https://maps.app.goo.gl/qdVJ5JZA2bqzGZVr6" TargetMode="External"/><Relationship Id="rId406" Type="http://schemas.openxmlformats.org/officeDocument/2006/relationships/hyperlink" Target="https://maps.app.goo.gl/qdVJ5JZA2bqzGZVr6" TargetMode="External"/><Relationship Id="rId405" Type="http://schemas.openxmlformats.org/officeDocument/2006/relationships/hyperlink" Target="https://maps.app.goo.gl/qdVJ5JZA2bqzGZVr6" TargetMode="External"/><Relationship Id="rId26" Type="http://schemas.openxmlformats.org/officeDocument/2006/relationships/hyperlink" Target="https://drive.google.com/file/d/1sTQUnb6NbxtZZujbgrTPR80Ha-yaOD9T/view?usp=sharing" TargetMode="External"/><Relationship Id="rId25" Type="http://schemas.openxmlformats.org/officeDocument/2006/relationships/hyperlink" Target="https://maps.app.goo.gl/qsJppfPit9RN8sY98" TargetMode="External"/><Relationship Id="rId28" Type="http://schemas.openxmlformats.org/officeDocument/2006/relationships/hyperlink" Target="https://drive.google.com/file/d/1sTQUnb6NbxtZZujbgrTPR80Ha-yaOD9T/view?usp=sharing" TargetMode="External"/><Relationship Id="rId27" Type="http://schemas.openxmlformats.org/officeDocument/2006/relationships/hyperlink" Target="https://maps.app.goo.gl/qsJppfPit9RN8sY98" TargetMode="External"/><Relationship Id="rId400" Type="http://schemas.openxmlformats.org/officeDocument/2006/relationships/hyperlink" Target="https://maps.app.goo.gl/qdVJ5JZA2bqzGZVr6" TargetMode="External"/><Relationship Id="rId521" Type="http://schemas.openxmlformats.org/officeDocument/2006/relationships/hyperlink" Target="https://maps.app.goo.gl/qdVJ5JZA2bqzGZVr6" TargetMode="External"/><Relationship Id="rId29" Type="http://schemas.openxmlformats.org/officeDocument/2006/relationships/hyperlink" Target="https://maps.app.goo.gl/qsJppfPit9RN8sY98" TargetMode="External"/><Relationship Id="rId520" Type="http://schemas.openxmlformats.org/officeDocument/2006/relationships/hyperlink" Target="https://maps.app.goo.gl/qdVJ5JZA2bqzGZVr6" TargetMode="External"/><Relationship Id="rId11" Type="http://schemas.openxmlformats.org/officeDocument/2006/relationships/hyperlink" Target="https://maps.app.goo.gl/HbNqmyyW7a6zVxRs7?g_st=ipc" TargetMode="External"/><Relationship Id="rId10" Type="http://schemas.openxmlformats.org/officeDocument/2006/relationships/hyperlink" Target="https://maps.app.goo.gl/HbNqmyyW7a6zVxRs7?g_st=ipc" TargetMode="External"/><Relationship Id="rId13" Type="http://schemas.openxmlformats.org/officeDocument/2006/relationships/hyperlink" Target="https://maps.app.goo.gl/oLz5KTAHqTimZF2T9" TargetMode="External"/><Relationship Id="rId12" Type="http://schemas.openxmlformats.org/officeDocument/2006/relationships/hyperlink" Target="https://maps.app.goo.gl/HbNqmyyW7a6zVxRs7?g_st=ipc" TargetMode="External"/><Relationship Id="rId519" Type="http://schemas.openxmlformats.org/officeDocument/2006/relationships/hyperlink" Target="https://maps.app.goo.gl/qdVJ5JZA2bqzGZVr6" TargetMode="External"/><Relationship Id="rId514" Type="http://schemas.openxmlformats.org/officeDocument/2006/relationships/hyperlink" Target="https://maps.app.goo.gl/qdVJ5JZA2bqzGZVr6" TargetMode="External"/><Relationship Id="rId513" Type="http://schemas.openxmlformats.org/officeDocument/2006/relationships/hyperlink" Target="https://maps.app.goo.gl/qdVJ5JZA2bqzGZVr6" TargetMode="External"/><Relationship Id="rId512" Type="http://schemas.openxmlformats.org/officeDocument/2006/relationships/hyperlink" Target="https://maps.app.goo.gl/qdVJ5JZA2bqzGZVr6" TargetMode="External"/><Relationship Id="rId511" Type="http://schemas.openxmlformats.org/officeDocument/2006/relationships/hyperlink" Target="https://maps.app.goo.gl/qdVJ5JZA2bqzGZVr6" TargetMode="External"/><Relationship Id="rId518" Type="http://schemas.openxmlformats.org/officeDocument/2006/relationships/hyperlink" Target="https://maps.app.goo.gl/qdVJ5JZA2bqzGZVr6" TargetMode="External"/><Relationship Id="rId517" Type="http://schemas.openxmlformats.org/officeDocument/2006/relationships/hyperlink" Target="https://maps.app.goo.gl/qdVJ5JZA2bqzGZVr6" TargetMode="External"/><Relationship Id="rId516" Type="http://schemas.openxmlformats.org/officeDocument/2006/relationships/hyperlink" Target="https://maps.app.goo.gl/qdVJ5JZA2bqzGZVr6" TargetMode="External"/><Relationship Id="rId515" Type="http://schemas.openxmlformats.org/officeDocument/2006/relationships/hyperlink" Target="https://maps.app.goo.gl/qdVJ5JZA2bqzGZVr6" TargetMode="External"/><Relationship Id="rId15" Type="http://schemas.openxmlformats.org/officeDocument/2006/relationships/hyperlink" Target="https://maps.app.goo.gl/oLz5KTAHqTimZF2T9" TargetMode="External"/><Relationship Id="rId14" Type="http://schemas.openxmlformats.org/officeDocument/2006/relationships/hyperlink" Target="https://drive.google.com/file/d/1Xo0SvTtoIp6kEkDIlHzR9HH5U9E6AULL/view?usp=sharing" TargetMode="External"/><Relationship Id="rId17" Type="http://schemas.openxmlformats.org/officeDocument/2006/relationships/hyperlink" Target="https://maps.app.goo.gl/oLz5KTAHqTimZF2T9" TargetMode="External"/><Relationship Id="rId16" Type="http://schemas.openxmlformats.org/officeDocument/2006/relationships/hyperlink" Target="https://drive.google.com/file/d/1Xo0SvTtoIp6kEkDIlHzR9HH5U9E6AULL/view?usp=sharing" TargetMode="External"/><Relationship Id="rId19" Type="http://schemas.openxmlformats.org/officeDocument/2006/relationships/hyperlink" Target="https://maps.app.goo.gl/oLz5KTAHqTimZF2T9" TargetMode="External"/><Relationship Id="rId510" Type="http://schemas.openxmlformats.org/officeDocument/2006/relationships/hyperlink" Target="https://maps.app.goo.gl/qdVJ5JZA2bqzGZVr6" TargetMode="External"/><Relationship Id="rId18" Type="http://schemas.openxmlformats.org/officeDocument/2006/relationships/hyperlink" Target="https://drive.google.com/file/d/1Xo0SvTtoIp6kEkDIlHzR9HH5U9E6AULL/view?usp=sharing" TargetMode="External"/><Relationship Id="rId84" Type="http://schemas.openxmlformats.org/officeDocument/2006/relationships/hyperlink" Target="https://maps.app.goo.gl/Zv5gYWbaA7QQA23C7" TargetMode="External"/><Relationship Id="rId83" Type="http://schemas.openxmlformats.org/officeDocument/2006/relationships/hyperlink" Target="https://aleen.cc/Upload/108/B-01.pdf" TargetMode="External"/><Relationship Id="rId86" Type="http://schemas.openxmlformats.org/officeDocument/2006/relationships/hyperlink" Target="https://aleen.cc/Upload/108/B-02.pdf" TargetMode="External"/><Relationship Id="rId85" Type="http://schemas.openxmlformats.org/officeDocument/2006/relationships/hyperlink" Target="https://aleen.cc/Upload/108/details.pdf" TargetMode="External"/><Relationship Id="rId88" Type="http://schemas.openxmlformats.org/officeDocument/2006/relationships/hyperlink" Target="https://aleen.cc/Upload/108/details.pdf" TargetMode="External"/><Relationship Id="rId87" Type="http://schemas.openxmlformats.org/officeDocument/2006/relationships/hyperlink" Target="https://maps.app.goo.gl/Zv5gYWbaA7QQA23C7" TargetMode="External"/><Relationship Id="rId89" Type="http://schemas.openxmlformats.org/officeDocument/2006/relationships/hyperlink" Target="https://aleen.cc/Upload/108/C-01.pdf" TargetMode="External"/><Relationship Id="rId80" Type="http://schemas.openxmlformats.org/officeDocument/2006/relationships/hyperlink" Target="https://aleen.cc/Upload/108/A-02.pdf" TargetMode="External"/><Relationship Id="rId82" Type="http://schemas.openxmlformats.org/officeDocument/2006/relationships/hyperlink" Target="https://aleen.cc/Upload/108/details.pdf" TargetMode="External"/><Relationship Id="rId81" Type="http://schemas.openxmlformats.org/officeDocument/2006/relationships/hyperlink" Target="https://maps.app.goo.gl/Zv5gYWbaA7QQA23C7" TargetMode="External"/><Relationship Id="rId73" Type="http://schemas.openxmlformats.org/officeDocument/2006/relationships/hyperlink" Target="https://aleen.cc/Upload/106/details.pdf" TargetMode="External"/><Relationship Id="rId72" Type="http://schemas.openxmlformats.org/officeDocument/2006/relationships/hyperlink" Target="https://maps.app.goo.gl/y4PPVtti2qfr3m8z9" TargetMode="External"/><Relationship Id="rId75" Type="http://schemas.openxmlformats.org/officeDocument/2006/relationships/hyperlink" Target="https://maps.app.goo.gl/Zv5gYWbaA7QQA23C7" TargetMode="External"/><Relationship Id="rId74" Type="http://schemas.openxmlformats.org/officeDocument/2006/relationships/hyperlink" Target="https://aleen.cc/Upload/106/B-02.pdf" TargetMode="External"/><Relationship Id="rId77" Type="http://schemas.openxmlformats.org/officeDocument/2006/relationships/hyperlink" Target="https://aleen.cc/Upload/108/A-01.pdf" TargetMode="External"/><Relationship Id="rId76" Type="http://schemas.openxmlformats.org/officeDocument/2006/relationships/hyperlink" Target="https://drive.google.com/file/d/1My-Ev1ZRdnJyzLjGvMwv5mOtdigf5Gk9/view?usp=sharing" TargetMode="External"/><Relationship Id="rId79" Type="http://schemas.openxmlformats.org/officeDocument/2006/relationships/hyperlink" Target="https://aleen.cc/Upload/108/details.pdf" TargetMode="External"/><Relationship Id="rId78" Type="http://schemas.openxmlformats.org/officeDocument/2006/relationships/hyperlink" Target="https://maps.app.goo.gl/Zv5gYWbaA7QQA23C7" TargetMode="External"/><Relationship Id="rId71" Type="http://schemas.openxmlformats.org/officeDocument/2006/relationships/hyperlink" Target="https://aleen.cc/Upload/106/A-02.pdf" TargetMode="External"/><Relationship Id="rId70" Type="http://schemas.openxmlformats.org/officeDocument/2006/relationships/hyperlink" Target="https://drive.google.com/file/d/1evP5tdtznuqptNbtqmT2afQspZTbeKhA/view?usp=sharing" TargetMode="External"/><Relationship Id="rId62" Type="http://schemas.openxmlformats.org/officeDocument/2006/relationships/hyperlink" Target="https://maps.app.goo.gl/CMxaMUfvXSi6TrNt5" TargetMode="External"/><Relationship Id="rId61" Type="http://schemas.openxmlformats.org/officeDocument/2006/relationships/hyperlink" Target="https://maps.app.goo.gl/CMxaMUfvXSi6TrNt5" TargetMode="External"/><Relationship Id="rId64" Type="http://schemas.openxmlformats.org/officeDocument/2006/relationships/hyperlink" Target="https://maps.app.goo.gl/irPzaUaLrvcgyAu49" TargetMode="External"/><Relationship Id="rId63" Type="http://schemas.openxmlformats.org/officeDocument/2006/relationships/hyperlink" Target="https://drive.google.com/file/d/1TWuNkH_PzooMLu-YP3SnGlduJM0XsAUQ/view?usp=sharing" TargetMode="External"/><Relationship Id="rId66" Type="http://schemas.openxmlformats.org/officeDocument/2006/relationships/hyperlink" Target="https://maps.app.goo.gl/irPzaUaLrvcgyAu49" TargetMode="External"/><Relationship Id="rId65" Type="http://schemas.openxmlformats.org/officeDocument/2006/relationships/hyperlink" Target="https://maps.app.goo.gl/irPzaUaLrvcgyAu49" TargetMode="External"/><Relationship Id="rId68" Type="http://schemas.openxmlformats.org/officeDocument/2006/relationships/hyperlink" Target="https://maps.app.goo.gl/irPzaUaLrvcgyAu49" TargetMode="External"/><Relationship Id="rId67" Type="http://schemas.openxmlformats.org/officeDocument/2006/relationships/hyperlink" Target="https://maps.app.goo.gl/irPzaUaLrvcgyAu49" TargetMode="External"/><Relationship Id="rId60" Type="http://schemas.openxmlformats.org/officeDocument/2006/relationships/hyperlink" Target="https://maps.app.goo.gl/CMxaMUfvXSi6TrNt5" TargetMode="External"/><Relationship Id="rId69" Type="http://schemas.openxmlformats.org/officeDocument/2006/relationships/hyperlink" Target="https://maps.app.goo.gl/y4PPVtti2qfr3m8z9" TargetMode="External"/><Relationship Id="rId51" Type="http://schemas.openxmlformats.org/officeDocument/2006/relationships/hyperlink" Target="https://maps.app.goo.gl/CMxaMUfvXSi6TrNt5" TargetMode="External"/><Relationship Id="rId50" Type="http://schemas.openxmlformats.org/officeDocument/2006/relationships/hyperlink" Target="https://maps.app.goo.gl/CMxaMUfvXSi6TrNt5" TargetMode="External"/><Relationship Id="rId53" Type="http://schemas.openxmlformats.org/officeDocument/2006/relationships/hyperlink" Target="https://maps.app.goo.gl/CMxaMUfvXSi6TrNt5" TargetMode="External"/><Relationship Id="rId52" Type="http://schemas.openxmlformats.org/officeDocument/2006/relationships/hyperlink" Target="https://maps.app.goo.gl/CMxaMUfvXSi6TrNt5" TargetMode="External"/><Relationship Id="rId55" Type="http://schemas.openxmlformats.org/officeDocument/2006/relationships/hyperlink" Target="https://maps.app.goo.gl/CMxaMUfvXSi6TrNt5" TargetMode="External"/><Relationship Id="rId54" Type="http://schemas.openxmlformats.org/officeDocument/2006/relationships/hyperlink" Target="https://maps.app.goo.gl/CMxaMUfvXSi6TrNt5" TargetMode="External"/><Relationship Id="rId57" Type="http://schemas.openxmlformats.org/officeDocument/2006/relationships/hyperlink" Target="https://maps.app.goo.gl/CMxaMUfvXSi6TrNt5" TargetMode="External"/><Relationship Id="rId56" Type="http://schemas.openxmlformats.org/officeDocument/2006/relationships/hyperlink" Target="https://maps.app.goo.gl/CMxaMUfvXSi6TrNt5" TargetMode="External"/><Relationship Id="rId59" Type="http://schemas.openxmlformats.org/officeDocument/2006/relationships/hyperlink" Target="https://drive.google.com/file/d/1TWuNkH_PzooMLu-YP3SnGlduJM0XsAUQ/view?usp=sharing" TargetMode="External"/><Relationship Id="rId58" Type="http://schemas.openxmlformats.org/officeDocument/2006/relationships/hyperlink" Target="https://maps.app.goo.gl/CMxaMUfvXSi6TrNt5" TargetMode="External"/><Relationship Id="rId107" Type="http://schemas.openxmlformats.org/officeDocument/2006/relationships/hyperlink" Target="https://aleen.cc/Upload/120/09.pdf" TargetMode="External"/><Relationship Id="rId228" Type="http://schemas.openxmlformats.org/officeDocument/2006/relationships/hyperlink" Target="https://aleen.cc/Upload/27/details.pdf" TargetMode="External"/><Relationship Id="rId349" Type="http://schemas.openxmlformats.org/officeDocument/2006/relationships/hyperlink" Target="https://maps.app.goo.gl/qdVJ5JZA2bqzGZVr6" TargetMode="External"/><Relationship Id="rId106" Type="http://schemas.openxmlformats.org/officeDocument/2006/relationships/hyperlink" Target="https://drive.google.com/file/d/193nD9209yLCEkuvipRKig80B_3Mc39EB/view?usp=sharing" TargetMode="External"/><Relationship Id="rId227" Type="http://schemas.openxmlformats.org/officeDocument/2006/relationships/hyperlink" Target="https://aleen.cc/Upload/27/details.pdf" TargetMode="External"/><Relationship Id="rId348" Type="http://schemas.openxmlformats.org/officeDocument/2006/relationships/hyperlink" Target="https://maps.app.goo.gl/qdVJ5JZA2bqzGZVr6" TargetMode="External"/><Relationship Id="rId469" Type="http://schemas.openxmlformats.org/officeDocument/2006/relationships/hyperlink" Target="https://maps.app.goo.gl/qdVJ5JZA2bqzGZVr6" TargetMode="External"/><Relationship Id="rId105" Type="http://schemas.openxmlformats.org/officeDocument/2006/relationships/hyperlink" Target="https://maps.app.goo.gl/v3gDHhxP3SsNPscp7" TargetMode="External"/><Relationship Id="rId226" Type="http://schemas.openxmlformats.org/officeDocument/2006/relationships/hyperlink" Target="https://aleen.cc/Upload/27/details.pdf" TargetMode="External"/><Relationship Id="rId347" Type="http://schemas.openxmlformats.org/officeDocument/2006/relationships/hyperlink" Target="https://maps.app.goo.gl/qdVJ5JZA2bqzGZVr6" TargetMode="External"/><Relationship Id="rId468" Type="http://schemas.openxmlformats.org/officeDocument/2006/relationships/hyperlink" Target="https://maps.app.goo.gl/qdVJ5JZA2bqzGZVr6" TargetMode="External"/><Relationship Id="rId104" Type="http://schemas.openxmlformats.org/officeDocument/2006/relationships/hyperlink" Target="https://aleen.cc/Upload/120/08.pdf" TargetMode="External"/><Relationship Id="rId225" Type="http://schemas.openxmlformats.org/officeDocument/2006/relationships/hyperlink" Target="https://aleen.cc/Upload/27/details.pdf" TargetMode="External"/><Relationship Id="rId346" Type="http://schemas.openxmlformats.org/officeDocument/2006/relationships/hyperlink" Target="https://maps.app.goo.gl/qdVJ5JZA2bqzGZVr6" TargetMode="External"/><Relationship Id="rId467" Type="http://schemas.openxmlformats.org/officeDocument/2006/relationships/hyperlink" Target="https://maps.app.goo.gl/qdVJ5JZA2bqzGZVr6" TargetMode="External"/><Relationship Id="rId109" Type="http://schemas.openxmlformats.org/officeDocument/2006/relationships/hyperlink" Target="https://drive.google.com/file/d/193nD9209yLCEkuvipRKig80B_3Mc39EB/view?usp=sharing" TargetMode="External"/><Relationship Id="rId108" Type="http://schemas.openxmlformats.org/officeDocument/2006/relationships/hyperlink" Target="https://maps.app.goo.gl/v3gDHhxP3SsNPscp7" TargetMode="External"/><Relationship Id="rId229" Type="http://schemas.openxmlformats.org/officeDocument/2006/relationships/hyperlink" Target="https://aleen.cc/Upload/98/details.pdf" TargetMode="External"/><Relationship Id="rId220" Type="http://schemas.openxmlformats.org/officeDocument/2006/relationships/hyperlink" Target="https://aleen.cc/Upload/138/details.pdf" TargetMode="External"/><Relationship Id="rId341" Type="http://schemas.openxmlformats.org/officeDocument/2006/relationships/hyperlink" Target="https://maps.app.goo.gl/wx1wwEgFLzYgdNxr6" TargetMode="External"/><Relationship Id="rId462" Type="http://schemas.openxmlformats.org/officeDocument/2006/relationships/hyperlink" Target="https://maps.app.goo.gl/qdVJ5JZA2bqzGZVr6" TargetMode="External"/><Relationship Id="rId340" Type="http://schemas.openxmlformats.org/officeDocument/2006/relationships/hyperlink" Target="https://maps.app.goo.gl/wx1wwEgFLzYgdNxr6" TargetMode="External"/><Relationship Id="rId461" Type="http://schemas.openxmlformats.org/officeDocument/2006/relationships/hyperlink" Target="https://maps.app.goo.gl/qdVJ5JZA2bqzGZVr6" TargetMode="External"/><Relationship Id="rId460" Type="http://schemas.openxmlformats.org/officeDocument/2006/relationships/hyperlink" Target="https://maps.app.goo.gl/qdVJ5JZA2bqzGZVr6" TargetMode="External"/><Relationship Id="rId103" Type="http://schemas.openxmlformats.org/officeDocument/2006/relationships/hyperlink" Target="https://drive.google.com/file/d/193nD9209yLCEkuvipRKig80B_3Mc39EB/view?usp=sharing" TargetMode="External"/><Relationship Id="rId224" Type="http://schemas.openxmlformats.org/officeDocument/2006/relationships/hyperlink" Target="https://aleen.cc/Upload/27/details.pdf" TargetMode="External"/><Relationship Id="rId345" Type="http://schemas.openxmlformats.org/officeDocument/2006/relationships/hyperlink" Target="https://maps.app.goo.gl/qdVJ5JZA2bqzGZVr6" TargetMode="External"/><Relationship Id="rId466" Type="http://schemas.openxmlformats.org/officeDocument/2006/relationships/hyperlink" Target="https://maps.app.goo.gl/qdVJ5JZA2bqzGZVr6" TargetMode="External"/><Relationship Id="rId102" Type="http://schemas.openxmlformats.org/officeDocument/2006/relationships/hyperlink" Target="https://maps.app.goo.gl/v3gDHhxP3SsNPscp7" TargetMode="External"/><Relationship Id="rId223" Type="http://schemas.openxmlformats.org/officeDocument/2006/relationships/hyperlink" Target="https://aleen.cc/Upload/27/details.pdf" TargetMode="External"/><Relationship Id="rId344" Type="http://schemas.openxmlformats.org/officeDocument/2006/relationships/hyperlink" Target="https://maps.app.goo.gl/wx1wwEgFLzYgdNxr6" TargetMode="External"/><Relationship Id="rId465" Type="http://schemas.openxmlformats.org/officeDocument/2006/relationships/hyperlink" Target="https://maps.app.goo.gl/qdVJ5JZA2bqzGZVr6" TargetMode="External"/><Relationship Id="rId101" Type="http://schemas.openxmlformats.org/officeDocument/2006/relationships/hyperlink" Target="https://aleen.cc/Upload/120/07.pdf" TargetMode="External"/><Relationship Id="rId222" Type="http://schemas.openxmlformats.org/officeDocument/2006/relationships/hyperlink" Target="https://aleen.cc/Upload/138/details.pdf" TargetMode="External"/><Relationship Id="rId343" Type="http://schemas.openxmlformats.org/officeDocument/2006/relationships/hyperlink" Target="https://maps.app.goo.gl/wx1wwEgFLzYgdNxr6" TargetMode="External"/><Relationship Id="rId464" Type="http://schemas.openxmlformats.org/officeDocument/2006/relationships/hyperlink" Target="https://maps.app.goo.gl/qdVJ5JZA2bqzGZVr6" TargetMode="External"/><Relationship Id="rId100" Type="http://schemas.openxmlformats.org/officeDocument/2006/relationships/hyperlink" Target="https://drive.google.com/file/d/193nD9209yLCEkuvipRKig80B_3Mc39EB/view?usp=sharing" TargetMode="External"/><Relationship Id="rId221" Type="http://schemas.openxmlformats.org/officeDocument/2006/relationships/hyperlink" Target="https://aleen.cc/Upload/138/details.pdf" TargetMode="External"/><Relationship Id="rId342" Type="http://schemas.openxmlformats.org/officeDocument/2006/relationships/hyperlink" Target="https://maps.app.goo.gl/wx1wwEgFLzYgdNxr6" TargetMode="External"/><Relationship Id="rId463" Type="http://schemas.openxmlformats.org/officeDocument/2006/relationships/hyperlink" Target="https://maps.app.goo.gl/qdVJ5JZA2bqzGZVr6" TargetMode="External"/><Relationship Id="rId217" Type="http://schemas.openxmlformats.org/officeDocument/2006/relationships/hyperlink" Target="https://aleen.cc/Upload/138/details.pdf" TargetMode="External"/><Relationship Id="rId338" Type="http://schemas.openxmlformats.org/officeDocument/2006/relationships/hyperlink" Target="https://maps.app.goo.gl/wx1wwEgFLzYgdNxr6" TargetMode="External"/><Relationship Id="rId459" Type="http://schemas.openxmlformats.org/officeDocument/2006/relationships/hyperlink" Target="https://maps.app.goo.gl/qdVJ5JZA2bqzGZVr6" TargetMode="External"/><Relationship Id="rId216" Type="http://schemas.openxmlformats.org/officeDocument/2006/relationships/hyperlink" Target="https://aleen.cc/Upload/138/details.pdf" TargetMode="External"/><Relationship Id="rId337" Type="http://schemas.openxmlformats.org/officeDocument/2006/relationships/hyperlink" Target="https://maps.app.goo.gl/wx1wwEgFLzYgdNxr6" TargetMode="External"/><Relationship Id="rId458" Type="http://schemas.openxmlformats.org/officeDocument/2006/relationships/hyperlink" Target="https://maps.app.goo.gl/qdVJ5JZA2bqzGZVr6" TargetMode="External"/><Relationship Id="rId215" Type="http://schemas.openxmlformats.org/officeDocument/2006/relationships/hyperlink" Target="https://aleen.cc/Upload/138/details.pdf" TargetMode="External"/><Relationship Id="rId336" Type="http://schemas.openxmlformats.org/officeDocument/2006/relationships/hyperlink" Target="https://maps.app.goo.gl/wx1wwEgFLzYgdNxr6" TargetMode="External"/><Relationship Id="rId457" Type="http://schemas.openxmlformats.org/officeDocument/2006/relationships/hyperlink" Target="https://maps.app.goo.gl/qdVJ5JZA2bqzGZVr6" TargetMode="External"/><Relationship Id="rId214" Type="http://schemas.openxmlformats.org/officeDocument/2006/relationships/hyperlink" Target="https://aleen.cc/Upload/138/details.pdf" TargetMode="External"/><Relationship Id="rId335" Type="http://schemas.openxmlformats.org/officeDocument/2006/relationships/hyperlink" Target="https://maps.app.goo.gl/wx1wwEgFLzYgdNxr6" TargetMode="External"/><Relationship Id="rId456" Type="http://schemas.openxmlformats.org/officeDocument/2006/relationships/hyperlink" Target="https://maps.app.goo.gl/qdVJ5JZA2bqzGZVr6" TargetMode="External"/><Relationship Id="rId219" Type="http://schemas.openxmlformats.org/officeDocument/2006/relationships/hyperlink" Target="https://aleen.cc/Upload/138/details.pdf" TargetMode="External"/><Relationship Id="rId218" Type="http://schemas.openxmlformats.org/officeDocument/2006/relationships/hyperlink" Target="https://aleen.cc/Upload/138/details.pdf" TargetMode="External"/><Relationship Id="rId339" Type="http://schemas.openxmlformats.org/officeDocument/2006/relationships/hyperlink" Target="https://maps.app.goo.gl/wx1wwEgFLzYgdNxr6" TargetMode="External"/><Relationship Id="rId330" Type="http://schemas.openxmlformats.org/officeDocument/2006/relationships/hyperlink" Target="https://maps.app.goo.gl/wx1wwEgFLzYgdNxr6" TargetMode="External"/><Relationship Id="rId451" Type="http://schemas.openxmlformats.org/officeDocument/2006/relationships/hyperlink" Target="https://maps.app.goo.gl/qdVJ5JZA2bqzGZVr6" TargetMode="External"/><Relationship Id="rId450" Type="http://schemas.openxmlformats.org/officeDocument/2006/relationships/hyperlink" Target="https://maps.app.goo.gl/qdVJ5JZA2bqzGZVr6" TargetMode="External"/><Relationship Id="rId213" Type="http://schemas.openxmlformats.org/officeDocument/2006/relationships/hyperlink" Target="https://aleen.cc/Upload/138/details.pdf" TargetMode="External"/><Relationship Id="rId334" Type="http://schemas.openxmlformats.org/officeDocument/2006/relationships/hyperlink" Target="https://maps.app.goo.gl/wx1wwEgFLzYgdNxr6" TargetMode="External"/><Relationship Id="rId455" Type="http://schemas.openxmlformats.org/officeDocument/2006/relationships/hyperlink" Target="https://maps.app.goo.gl/qdVJ5JZA2bqzGZVr6" TargetMode="External"/><Relationship Id="rId212" Type="http://schemas.openxmlformats.org/officeDocument/2006/relationships/hyperlink" Target="https://aleen.cc/Upload/130/details.pdf" TargetMode="External"/><Relationship Id="rId333" Type="http://schemas.openxmlformats.org/officeDocument/2006/relationships/hyperlink" Target="https://maps.app.goo.gl/wx1wwEgFLzYgdNxr6" TargetMode="External"/><Relationship Id="rId454" Type="http://schemas.openxmlformats.org/officeDocument/2006/relationships/hyperlink" Target="https://maps.app.goo.gl/qdVJ5JZA2bqzGZVr6" TargetMode="External"/><Relationship Id="rId211" Type="http://schemas.openxmlformats.org/officeDocument/2006/relationships/hyperlink" Target="https://aleen.cc/Upload/130/details.pdf" TargetMode="External"/><Relationship Id="rId332" Type="http://schemas.openxmlformats.org/officeDocument/2006/relationships/hyperlink" Target="https://maps.app.goo.gl/wx1wwEgFLzYgdNxr6" TargetMode="External"/><Relationship Id="rId453" Type="http://schemas.openxmlformats.org/officeDocument/2006/relationships/hyperlink" Target="https://maps.app.goo.gl/qdVJ5JZA2bqzGZVr6" TargetMode="External"/><Relationship Id="rId210" Type="http://schemas.openxmlformats.org/officeDocument/2006/relationships/hyperlink" Target="https://aleen.cc/Upload/130/details.pdf" TargetMode="External"/><Relationship Id="rId331" Type="http://schemas.openxmlformats.org/officeDocument/2006/relationships/hyperlink" Target="https://maps.app.goo.gl/wx1wwEgFLzYgdNxr6" TargetMode="External"/><Relationship Id="rId452" Type="http://schemas.openxmlformats.org/officeDocument/2006/relationships/hyperlink" Target="https://maps.app.goo.gl/qdVJ5JZA2bqzGZVr6" TargetMode="External"/><Relationship Id="rId370" Type="http://schemas.openxmlformats.org/officeDocument/2006/relationships/hyperlink" Target="https://maps.app.goo.gl/qdVJ5JZA2bqzGZVr6" TargetMode="External"/><Relationship Id="rId491" Type="http://schemas.openxmlformats.org/officeDocument/2006/relationships/hyperlink" Target="https://maps.app.goo.gl/qdVJ5JZA2bqzGZVr6" TargetMode="External"/><Relationship Id="rId490" Type="http://schemas.openxmlformats.org/officeDocument/2006/relationships/hyperlink" Target="https://maps.app.goo.gl/qdVJ5JZA2bqzGZVr6" TargetMode="External"/><Relationship Id="rId129" Type="http://schemas.openxmlformats.org/officeDocument/2006/relationships/hyperlink" Target="https://maps.app.goo.gl/KhDLpCiJxxoQ1rnf8" TargetMode="External"/><Relationship Id="rId128" Type="http://schemas.openxmlformats.org/officeDocument/2006/relationships/hyperlink" Target="https://maps.app.goo.gl/KhDLpCiJxxoQ1rnf8" TargetMode="External"/><Relationship Id="rId249" Type="http://schemas.openxmlformats.org/officeDocument/2006/relationships/hyperlink" Target="https://aleen.cc/Upload/118/details.pdf" TargetMode="External"/><Relationship Id="rId127" Type="http://schemas.openxmlformats.org/officeDocument/2006/relationships/hyperlink" Target="https://maps.app.goo.gl/5yYbPMnuG8Xk46Kf8?g_st=ipc" TargetMode="External"/><Relationship Id="rId248" Type="http://schemas.openxmlformats.org/officeDocument/2006/relationships/hyperlink" Target="https://aleen.cc/Upload/118/details.pdf" TargetMode="External"/><Relationship Id="rId369" Type="http://schemas.openxmlformats.org/officeDocument/2006/relationships/hyperlink" Target="https://maps.app.goo.gl/qdVJ5JZA2bqzGZVr6" TargetMode="External"/><Relationship Id="rId126" Type="http://schemas.openxmlformats.org/officeDocument/2006/relationships/hyperlink" Target="https://maps.app.goo.gl/5yYbPMnuG8Xk46Kf8?g_st=ipc" TargetMode="External"/><Relationship Id="rId247" Type="http://schemas.openxmlformats.org/officeDocument/2006/relationships/hyperlink" Target="https://aleen.cc/Upload/118/details.pdf" TargetMode="External"/><Relationship Id="rId368" Type="http://schemas.openxmlformats.org/officeDocument/2006/relationships/hyperlink" Target="https://maps.app.goo.gl/qdVJ5JZA2bqzGZVr6" TargetMode="External"/><Relationship Id="rId489" Type="http://schemas.openxmlformats.org/officeDocument/2006/relationships/hyperlink" Target="https://maps.app.goo.gl/qdVJ5JZA2bqzGZVr6" TargetMode="External"/><Relationship Id="rId121" Type="http://schemas.openxmlformats.org/officeDocument/2006/relationships/hyperlink" Target="https://maps.app.goo.gl/5yYbPMnuG8Xk46Kf8?g_st=ipc" TargetMode="External"/><Relationship Id="rId242" Type="http://schemas.openxmlformats.org/officeDocument/2006/relationships/hyperlink" Target="https://aleen.cc/Upload/118/details.pdf" TargetMode="External"/><Relationship Id="rId363" Type="http://schemas.openxmlformats.org/officeDocument/2006/relationships/hyperlink" Target="https://maps.app.goo.gl/qdVJ5JZA2bqzGZVr6" TargetMode="External"/><Relationship Id="rId484" Type="http://schemas.openxmlformats.org/officeDocument/2006/relationships/hyperlink" Target="https://maps.app.goo.gl/qdVJ5JZA2bqzGZVr6" TargetMode="External"/><Relationship Id="rId120" Type="http://schemas.openxmlformats.org/officeDocument/2006/relationships/hyperlink" Target="https://maps.app.goo.gl/5yYbPMnuG8Xk46Kf8?g_st=ipc" TargetMode="External"/><Relationship Id="rId241" Type="http://schemas.openxmlformats.org/officeDocument/2006/relationships/hyperlink" Target="https://aleen.cc/Upload/118/details.pdf" TargetMode="External"/><Relationship Id="rId362" Type="http://schemas.openxmlformats.org/officeDocument/2006/relationships/hyperlink" Target="https://maps.app.goo.gl/qdVJ5JZA2bqzGZVr6" TargetMode="External"/><Relationship Id="rId483" Type="http://schemas.openxmlformats.org/officeDocument/2006/relationships/hyperlink" Target="https://maps.app.goo.gl/qdVJ5JZA2bqzGZVr6" TargetMode="External"/><Relationship Id="rId240" Type="http://schemas.openxmlformats.org/officeDocument/2006/relationships/hyperlink" Target="https://aleen.cc/Upload/118/details.pdf" TargetMode="External"/><Relationship Id="rId361" Type="http://schemas.openxmlformats.org/officeDocument/2006/relationships/hyperlink" Target="https://maps.app.goo.gl/qdVJ5JZA2bqzGZVr6" TargetMode="External"/><Relationship Id="rId482" Type="http://schemas.openxmlformats.org/officeDocument/2006/relationships/hyperlink" Target="https://maps.app.goo.gl/qdVJ5JZA2bqzGZVr6" TargetMode="External"/><Relationship Id="rId360" Type="http://schemas.openxmlformats.org/officeDocument/2006/relationships/hyperlink" Target="https://maps.app.goo.gl/qdVJ5JZA2bqzGZVr6" TargetMode="External"/><Relationship Id="rId481" Type="http://schemas.openxmlformats.org/officeDocument/2006/relationships/hyperlink" Target="https://maps.app.goo.gl/qdVJ5JZA2bqzGZVr6" TargetMode="External"/><Relationship Id="rId125" Type="http://schemas.openxmlformats.org/officeDocument/2006/relationships/hyperlink" Target="https://maps.app.goo.gl/5yYbPMnuG8Xk46Kf8?g_st=ipc" TargetMode="External"/><Relationship Id="rId246" Type="http://schemas.openxmlformats.org/officeDocument/2006/relationships/hyperlink" Target="https://aleen.cc/Upload/118/details.pdf" TargetMode="External"/><Relationship Id="rId367" Type="http://schemas.openxmlformats.org/officeDocument/2006/relationships/hyperlink" Target="https://maps.app.goo.gl/qdVJ5JZA2bqzGZVr6" TargetMode="External"/><Relationship Id="rId488" Type="http://schemas.openxmlformats.org/officeDocument/2006/relationships/hyperlink" Target="https://maps.app.goo.gl/qdVJ5JZA2bqzGZVr6" TargetMode="External"/><Relationship Id="rId124" Type="http://schemas.openxmlformats.org/officeDocument/2006/relationships/hyperlink" Target="https://maps.app.goo.gl/5yYbPMnuG8Xk46Kf8?g_st=ipc" TargetMode="External"/><Relationship Id="rId245" Type="http://schemas.openxmlformats.org/officeDocument/2006/relationships/hyperlink" Target="https://aleen.cc/Upload/118/details.pdf" TargetMode="External"/><Relationship Id="rId366" Type="http://schemas.openxmlformats.org/officeDocument/2006/relationships/hyperlink" Target="https://maps.app.goo.gl/qdVJ5JZA2bqzGZVr6" TargetMode="External"/><Relationship Id="rId487" Type="http://schemas.openxmlformats.org/officeDocument/2006/relationships/hyperlink" Target="https://maps.app.goo.gl/qdVJ5JZA2bqzGZVr6" TargetMode="External"/><Relationship Id="rId123" Type="http://schemas.openxmlformats.org/officeDocument/2006/relationships/hyperlink" Target="https://maps.app.goo.gl/5yYbPMnuG8Xk46Kf8?g_st=ipc" TargetMode="External"/><Relationship Id="rId244" Type="http://schemas.openxmlformats.org/officeDocument/2006/relationships/hyperlink" Target="https://aleen.cc/Upload/118/details.pdf" TargetMode="External"/><Relationship Id="rId365" Type="http://schemas.openxmlformats.org/officeDocument/2006/relationships/hyperlink" Target="https://maps.app.goo.gl/qdVJ5JZA2bqzGZVr6" TargetMode="External"/><Relationship Id="rId486" Type="http://schemas.openxmlformats.org/officeDocument/2006/relationships/hyperlink" Target="https://maps.app.goo.gl/qdVJ5JZA2bqzGZVr6" TargetMode="External"/><Relationship Id="rId122" Type="http://schemas.openxmlformats.org/officeDocument/2006/relationships/hyperlink" Target="https://maps.app.goo.gl/5yYbPMnuG8Xk46Kf8?g_st=ipc" TargetMode="External"/><Relationship Id="rId243" Type="http://schemas.openxmlformats.org/officeDocument/2006/relationships/hyperlink" Target="https://aleen.cc/Upload/118/details.pdf" TargetMode="External"/><Relationship Id="rId364" Type="http://schemas.openxmlformats.org/officeDocument/2006/relationships/hyperlink" Target="https://maps.app.goo.gl/qdVJ5JZA2bqzGZVr6" TargetMode="External"/><Relationship Id="rId485" Type="http://schemas.openxmlformats.org/officeDocument/2006/relationships/hyperlink" Target="https://maps.app.goo.gl/qdVJ5JZA2bqzGZVr6" TargetMode="External"/><Relationship Id="rId95" Type="http://schemas.openxmlformats.org/officeDocument/2006/relationships/hyperlink" Target="https://aleen.cc/Upload/120/03.pdf" TargetMode="External"/><Relationship Id="rId94" Type="http://schemas.openxmlformats.org/officeDocument/2006/relationships/hyperlink" Target="https://drive.google.com/file/d/193nD9209yLCEkuvipRKig80B_3Mc39EB/view?usp=sharing" TargetMode="External"/><Relationship Id="rId97" Type="http://schemas.openxmlformats.org/officeDocument/2006/relationships/hyperlink" Target="https://drive.google.com/file/d/193nD9209yLCEkuvipRKig80B_3Mc39EB/view?usp=sharing" TargetMode="External"/><Relationship Id="rId96" Type="http://schemas.openxmlformats.org/officeDocument/2006/relationships/hyperlink" Target="https://maps.app.goo.gl/v3gDHhxP3SsNPscp7" TargetMode="External"/><Relationship Id="rId99" Type="http://schemas.openxmlformats.org/officeDocument/2006/relationships/hyperlink" Target="https://maps.app.goo.gl/v3gDHhxP3SsNPscp7" TargetMode="External"/><Relationship Id="rId480" Type="http://schemas.openxmlformats.org/officeDocument/2006/relationships/hyperlink" Target="https://maps.app.goo.gl/qdVJ5JZA2bqzGZVr6" TargetMode="External"/><Relationship Id="rId98" Type="http://schemas.openxmlformats.org/officeDocument/2006/relationships/hyperlink" Target="https://aleen.cc/Upload/120/06.pdf" TargetMode="External"/><Relationship Id="rId91" Type="http://schemas.openxmlformats.org/officeDocument/2006/relationships/hyperlink" Target="https://aleen.cc/Upload/108/details.pdf" TargetMode="External"/><Relationship Id="rId90" Type="http://schemas.openxmlformats.org/officeDocument/2006/relationships/hyperlink" Target="https://maps.app.goo.gl/Zv5gYWbaA7QQA23C7" TargetMode="External"/><Relationship Id="rId93" Type="http://schemas.openxmlformats.org/officeDocument/2006/relationships/hyperlink" Target="https://maps.app.goo.gl/v3gDHhxP3SsNPscp7" TargetMode="External"/><Relationship Id="rId92" Type="http://schemas.openxmlformats.org/officeDocument/2006/relationships/hyperlink" Target="https://aleen.cc/Upload/108/C-02.pdf" TargetMode="External"/><Relationship Id="rId118" Type="http://schemas.openxmlformats.org/officeDocument/2006/relationships/hyperlink" Target="https://maps.app.goo.gl/5yYbPMnuG8Xk46Kf8?g_st=ipc" TargetMode="External"/><Relationship Id="rId239" Type="http://schemas.openxmlformats.org/officeDocument/2006/relationships/hyperlink" Target="https://aleen.cc/Upload/118/details.pdf" TargetMode="External"/><Relationship Id="rId117" Type="http://schemas.openxmlformats.org/officeDocument/2006/relationships/hyperlink" Target="https://maps.app.goo.gl/5yYbPMnuG8Xk46Kf8?g_st=ipc" TargetMode="External"/><Relationship Id="rId238" Type="http://schemas.openxmlformats.org/officeDocument/2006/relationships/hyperlink" Target="https://aleen.cc/Upload/116/details.pdf" TargetMode="External"/><Relationship Id="rId359" Type="http://schemas.openxmlformats.org/officeDocument/2006/relationships/hyperlink" Target="https://maps.app.goo.gl/qdVJ5JZA2bqzGZVr6" TargetMode="External"/><Relationship Id="rId116" Type="http://schemas.openxmlformats.org/officeDocument/2006/relationships/hyperlink" Target="https://goo.gl/maps/fbK93s6v1kVooZMVA" TargetMode="External"/><Relationship Id="rId237" Type="http://schemas.openxmlformats.org/officeDocument/2006/relationships/hyperlink" Target="https://aleen.cc/Upload/116/details.pdf" TargetMode="External"/><Relationship Id="rId358" Type="http://schemas.openxmlformats.org/officeDocument/2006/relationships/hyperlink" Target="https://maps.app.goo.gl/qdVJ5JZA2bqzGZVr6" TargetMode="External"/><Relationship Id="rId479" Type="http://schemas.openxmlformats.org/officeDocument/2006/relationships/hyperlink" Target="https://maps.app.goo.gl/qdVJ5JZA2bqzGZVr6" TargetMode="External"/><Relationship Id="rId115" Type="http://schemas.openxmlformats.org/officeDocument/2006/relationships/hyperlink" Target="https://goo.gl/maps/fbK93s6v1kVooZMVA" TargetMode="External"/><Relationship Id="rId236" Type="http://schemas.openxmlformats.org/officeDocument/2006/relationships/hyperlink" Target="https://aleen.cc/Upload/116/details.pdf" TargetMode="External"/><Relationship Id="rId357" Type="http://schemas.openxmlformats.org/officeDocument/2006/relationships/hyperlink" Target="https://maps.app.goo.gl/qdVJ5JZA2bqzGZVr6" TargetMode="External"/><Relationship Id="rId478" Type="http://schemas.openxmlformats.org/officeDocument/2006/relationships/hyperlink" Target="https://maps.app.goo.gl/qdVJ5JZA2bqzGZVr6" TargetMode="External"/><Relationship Id="rId119" Type="http://schemas.openxmlformats.org/officeDocument/2006/relationships/hyperlink" Target="https://maps.app.goo.gl/5yYbPMnuG8Xk46Kf8?g_st=ipc" TargetMode="External"/><Relationship Id="rId110" Type="http://schemas.openxmlformats.org/officeDocument/2006/relationships/hyperlink" Target="https://aleen.cc/Upload/120/12.pdf" TargetMode="External"/><Relationship Id="rId231" Type="http://schemas.openxmlformats.org/officeDocument/2006/relationships/hyperlink" Target="https://aleen.cc/Upload/98/details.pdf" TargetMode="External"/><Relationship Id="rId352" Type="http://schemas.openxmlformats.org/officeDocument/2006/relationships/hyperlink" Target="https://maps.app.goo.gl/qdVJ5JZA2bqzGZVr6" TargetMode="External"/><Relationship Id="rId473" Type="http://schemas.openxmlformats.org/officeDocument/2006/relationships/hyperlink" Target="https://maps.app.goo.gl/qdVJ5JZA2bqzGZVr6" TargetMode="External"/><Relationship Id="rId230" Type="http://schemas.openxmlformats.org/officeDocument/2006/relationships/hyperlink" Target="https://aleen.cc/Upload/98/details.pdf" TargetMode="External"/><Relationship Id="rId351" Type="http://schemas.openxmlformats.org/officeDocument/2006/relationships/hyperlink" Target="https://maps.app.goo.gl/qdVJ5JZA2bqzGZVr6" TargetMode="External"/><Relationship Id="rId472" Type="http://schemas.openxmlformats.org/officeDocument/2006/relationships/hyperlink" Target="https://maps.app.goo.gl/qdVJ5JZA2bqzGZVr6" TargetMode="External"/><Relationship Id="rId350" Type="http://schemas.openxmlformats.org/officeDocument/2006/relationships/hyperlink" Target="https://maps.app.goo.gl/qdVJ5JZA2bqzGZVr6" TargetMode="External"/><Relationship Id="rId471" Type="http://schemas.openxmlformats.org/officeDocument/2006/relationships/hyperlink" Target="https://maps.app.goo.gl/qdVJ5JZA2bqzGZVr6" TargetMode="External"/><Relationship Id="rId470" Type="http://schemas.openxmlformats.org/officeDocument/2006/relationships/hyperlink" Target="https://maps.app.goo.gl/qdVJ5JZA2bqzGZVr6" TargetMode="External"/><Relationship Id="rId114" Type="http://schemas.openxmlformats.org/officeDocument/2006/relationships/hyperlink" Target="https://goo.gl/maps/fbK93s6v1kVooZMVA" TargetMode="External"/><Relationship Id="rId235" Type="http://schemas.openxmlformats.org/officeDocument/2006/relationships/hyperlink" Target="https://aleen.cc/Upload/116/details.pdf" TargetMode="External"/><Relationship Id="rId356" Type="http://schemas.openxmlformats.org/officeDocument/2006/relationships/hyperlink" Target="https://maps.app.goo.gl/qdVJ5JZA2bqzGZVr6" TargetMode="External"/><Relationship Id="rId477" Type="http://schemas.openxmlformats.org/officeDocument/2006/relationships/hyperlink" Target="https://maps.app.goo.gl/qdVJ5JZA2bqzGZVr6" TargetMode="External"/><Relationship Id="rId113" Type="http://schemas.openxmlformats.org/officeDocument/2006/relationships/hyperlink" Target="https://goo.gl/maps/fbK93s6v1kVooZMVA" TargetMode="External"/><Relationship Id="rId234" Type="http://schemas.openxmlformats.org/officeDocument/2006/relationships/hyperlink" Target="https://aleen.cc/Upload/114/details.pdf" TargetMode="External"/><Relationship Id="rId355" Type="http://schemas.openxmlformats.org/officeDocument/2006/relationships/hyperlink" Target="https://maps.app.goo.gl/qdVJ5JZA2bqzGZVr6" TargetMode="External"/><Relationship Id="rId476" Type="http://schemas.openxmlformats.org/officeDocument/2006/relationships/hyperlink" Target="https://maps.app.goo.gl/qdVJ5JZA2bqzGZVr6" TargetMode="External"/><Relationship Id="rId112" Type="http://schemas.openxmlformats.org/officeDocument/2006/relationships/hyperlink" Target="https://goo.gl/maps/fbK93s6v1kVooZMVA" TargetMode="External"/><Relationship Id="rId233" Type="http://schemas.openxmlformats.org/officeDocument/2006/relationships/hyperlink" Target="https://aleen.cc/Upload/114/details.pdf" TargetMode="External"/><Relationship Id="rId354" Type="http://schemas.openxmlformats.org/officeDocument/2006/relationships/hyperlink" Target="https://maps.app.goo.gl/qdVJ5JZA2bqzGZVr6" TargetMode="External"/><Relationship Id="rId475" Type="http://schemas.openxmlformats.org/officeDocument/2006/relationships/hyperlink" Target="https://maps.app.goo.gl/qdVJ5JZA2bqzGZVr6" TargetMode="External"/><Relationship Id="rId111" Type="http://schemas.openxmlformats.org/officeDocument/2006/relationships/hyperlink" Target="https://goo.gl/maps/fbK93s6v1kVooZMVA" TargetMode="External"/><Relationship Id="rId232" Type="http://schemas.openxmlformats.org/officeDocument/2006/relationships/hyperlink" Target="https://aleen.cc/Upload/114/details.pdf" TargetMode="External"/><Relationship Id="rId353" Type="http://schemas.openxmlformats.org/officeDocument/2006/relationships/hyperlink" Target="https://maps.app.goo.gl/qdVJ5JZA2bqzGZVr6" TargetMode="External"/><Relationship Id="rId474" Type="http://schemas.openxmlformats.org/officeDocument/2006/relationships/hyperlink" Target="https://maps.app.goo.gl/qdVJ5JZA2bqzGZVr6" TargetMode="External"/><Relationship Id="rId305" Type="http://schemas.openxmlformats.org/officeDocument/2006/relationships/hyperlink" Target="https://aleen.cc/Upload/156/details.pdf" TargetMode="External"/><Relationship Id="rId426" Type="http://schemas.openxmlformats.org/officeDocument/2006/relationships/hyperlink" Target="https://maps.app.goo.gl/qdVJ5JZA2bqzGZVr6" TargetMode="External"/><Relationship Id="rId304" Type="http://schemas.openxmlformats.org/officeDocument/2006/relationships/hyperlink" Target="https://aleen.cc/Upload/156/details.pdf" TargetMode="External"/><Relationship Id="rId425" Type="http://schemas.openxmlformats.org/officeDocument/2006/relationships/hyperlink" Target="https://maps.app.goo.gl/qdVJ5JZA2bqzGZVr6" TargetMode="External"/><Relationship Id="rId303" Type="http://schemas.openxmlformats.org/officeDocument/2006/relationships/hyperlink" Target="https://aleen.cc/Upload/156/details.pdf" TargetMode="External"/><Relationship Id="rId424" Type="http://schemas.openxmlformats.org/officeDocument/2006/relationships/hyperlink" Target="https://maps.app.goo.gl/qdVJ5JZA2bqzGZVr6" TargetMode="External"/><Relationship Id="rId302" Type="http://schemas.openxmlformats.org/officeDocument/2006/relationships/hyperlink" Target="https://aleen.cc/Upload/156/details.pdf" TargetMode="External"/><Relationship Id="rId423" Type="http://schemas.openxmlformats.org/officeDocument/2006/relationships/hyperlink" Target="https://maps.app.goo.gl/qdVJ5JZA2bqzGZVr6" TargetMode="External"/><Relationship Id="rId309" Type="http://schemas.openxmlformats.org/officeDocument/2006/relationships/hyperlink" Target="https://maps.app.goo.gl/wx1wwEgFLzYgdNxr6" TargetMode="External"/><Relationship Id="rId308" Type="http://schemas.openxmlformats.org/officeDocument/2006/relationships/hyperlink" Target="https://aleen.cc/Upload/156/details.pdf" TargetMode="External"/><Relationship Id="rId429" Type="http://schemas.openxmlformats.org/officeDocument/2006/relationships/hyperlink" Target="https://maps.app.goo.gl/qdVJ5JZA2bqzGZVr6" TargetMode="External"/><Relationship Id="rId307" Type="http://schemas.openxmlformats.org/officeDocument/2006/relationships/hyperlink" Target="https://aleen.cc/Upload/156/details.pdf" TargetMode="External"/><Relationship Id="rId428" Type="http://schemas.openxmlformats.org/officeDocument/2006/relationships/hyperlink" Target="https://maps.app.goo.gl/qdVJ5JZA2bqzGZVr6" TargetMode="External"/><Relationship Id="rId306" Type="http://schemas.openxmlformats.org/officeDocument/2006/relationships/hyperlink" Target="https://aleen.cc/Upload/156/details.pdf" TargetMode="External"/><Relationship Id="rId427" Type="http://schemas.openxmlformats.org/officeDocument/2006/relationships/hyperlink" Target="https://maps.app.goo.gl/qdVJ5JZA2bqzGZVr6" TargetMode="External"/><Relationship Id="rId301" Type="http://schemas.openxmlformats.org/officeDocument/2006/relationships/hyperlink" Target="https://aleen.cc/Upload/156/details.pdf" TargetMode="External"/><Relationship Id="rId422" Type="http://schemas.openxmlformats.org/officeDocument/2006/relationships/hyperlink" Target="https://maps.app.goo.gl/qdVJ5JZA2bqzGZVr6" TargetMode="External"/><Relationship Id="rId300" Type="http://schemas.openxmlformats.org/officeDocument/2006/relationships/hyperlink" Target="https://aleen.cc/Upload/156/details.pdf" TargetMode="External"/><Relationship Id="rId421" Type="http://schemas.openxmlformats.org/officeDocument/2006/relationships/hyperlink" Target="https://maps.app.goo.gl/qdVJ5JZA2bqzGZVr6" TargetMode="External"/><Relationship Id="rId420" Type="http://schemas.openxmlformats.org/officeDocument/2006/relationships/hyperlink" Target="https://maps.app.goo.gl/qdVJ5JZA2bqzGZVr6" TargetMode="External"/><Relationship Id="rId415" Type="http://schemas.openxmlformats.org/officeDocument/2006/relationships/hyperlink" Target="https://maps.app.goo.gl/qdVJ5JZA2bqzGZVr6" TargetMode="External"/><Relationship Id="rId414" Type="http://schemas.openxmlformats.org/officeDocument/2006/relationships/hyperlink" Target="https://maps.app.goo.gl/qdVJ5JZA2bqzGZVr6" TargetMode="External"/><Relationship Id="rId413" Type="http://schemas.openxmlformats.org/officeDocument/2006/relationships/hyperlink" Target="https://maps.app.goo.gl/qdVJ5JZA2bqzGZVr6" TargetMode="External"/><Relationship Id="rId412" Type="http://schemas.openxmlformats.org/officeDocument/2006/relationships/hyperlink" Target="https://maps.app.goo.gl/qdVJ5JZA2bqzGZVr6" TargetMode="External"/><Relationship Id="rId419" Type="http://schemas.openxmlformats.org/officeDocument/2006/relationships/hyperlink" Target="https://maps.app.goo.gl/qdVJ5JZA2bqzGZVr6" TargetMode="External"/><Relationship Id="rId418" Type="http://schemas.openxmlformats.org/officeDocument/2006/relationships/hyperlink" Target="https://maps.app.goo.gl/qdVJ5JZA2bqzGZVr6" TargetMode="External"/><Relationship Id="rId417" Type="http://schemas.openxmlformats.org/officeDocument/2006/relationships/hyperlink" Target="https://maps.app.goo.gl/qdVJ5JZA2bqzGZVr6" TargetMode="External"/><Relationship Id="rId416" Type="http://schemas.openxmlformats.org/officeDocument/2006/relationships/hyperlink" Target="https://maps.app.goo.gl/qdVJ5JZA2bqzGZVr6" TargetMode="External"/><Relationship Id="rId411" Type="http://schemas.openxmlformats.org/officeDocument/2006/relationships/hyperlink" Target="https://maps.app.goo.gl/qdVJ5JZA2bqzGZVr6" TargetMode="External"/><Relationship Id="rId410" Type="http://schemas.openxmlformats.org/officeDocument/2006/relationships/hyperlink" Target="https://maps.app.goo.gl/qdVJ5JZA2bqzGZVr6" TargetMode="External"/><Relationship Id="rId206" Type="http://schemas.openxmlformats.org/officeDocument/2006/relationships/hyperlink" Target="https://aleen.cc/Upload/130/details.pdf" TargetMode="External"/><Relationship Id="rId327" Type="http://schemas.openxmlformats.org/officeDocument/2006/relationships/hyperlink" Target="https://maps.app.goo.gl/wx1wwEgFLzYgdNxr6" TargetMode="External"/><Relationship Id="rId448" Type="http://schemas.openxmlformats.org/officeDocument/2006/relationships/hyperlink" Target="https://maps.app.goo.gl/qdVJ5JZA2bqzGZVr6" TargetMode="External"/><Relationship Id="rId205" Type="http://schemas.openxmlformats.org/officeDocument/2006/relationships/hyperlink" Target="https://aleen.cc/Upload/130/details.pdf" TargetMode="External"/><Relationship Id="rId326" Type="http://schemas.openxmlformats.org/officeDocument/2006/relationships/hyperlink" Target="https://maps.app.goo.gl/wx1wwEgFLzYgdNxr6" TargetMode="External"/><Relationship Id="rId447" Type="http://schemas.openxmlformats.org/officeDocument/2006/relationships/hyperlink" Target="https://maps.app.goo.gl/qdVJ5JZA2bqzGZVr6" TargetMode="External"/><Relationship Id="rId204" Type="http://schemas.openxmlformats.org/officeDocument/2006/relationships/hyperlink" Target="https://aleen.cc/Upload/130/details.pdf" TargetMode="External"/><Relationship Id="rId325" Type="http://schemas.openxmlformats.org/officeDocument/2006/relationships/hyperlink" Target="https://maps.app.goo.gl/wx1wwEgFLzYgdNxr6" TargetMode="External"/><Relationship Id="rId446" Type="http://schemas.openxmlformats.org/officeDocument/2006/relationships/hyperlink" Target="https://maps.app.goo.gl/qdVJ5JZA2bqzGZVr6" TargetMode="External"/><Relationship Id="rId203" Type="http://schemas.openxmlformats.org/officeDocument/2006/relationships/hyperlink" Target="https://aleen.cc/Upload/130/details.pdf" TargetMode="External"/><Relationship Id="rId324" Type="http://schemas.openxmlformats.org/officeDocument/2006/relationships/hyperlink" Target="https://maps.app.goo.gl/wx1wwEgFLzYgdNxr6" TargetMode="External"/><Relationship Id="rId445" Type="http://schemas.openxmlformats.org/officeDocument/2006/relationships/hyperlink" Target="https://maps.app.goo.gl/qdVJ5JZA2bqzGZVr6" TargetMode="External"/><Relationship Id="rId209" Type="http://schemas.openxmlformats.org/officeDocument/2006/relationships/hyperlink" Target="https://aleen.cc/Upload/130/details.pdf" TargetMode="External"/><Relationship Id="rId208" Type="http://schemas.openxmlformats.org/officeDocument/2006/relationships/hyperlink" Target="https://aleen.cc/Upload/130/details.pdf" TargetMode="External"/><Relationship Id="rId329" Type="http://schemas.openxmlformats.org/officeDocument/2006/relationships/hyperlink" Target="https://maps.app.goo.gl/wx1wwEgFLzYgdNxr6" TargetMode="External"/><Relationship Id="rId207" Type="http://schemas.openxmlformats.org/officeDocument/2006/relationships/hyperlink" Target="https://aleen.cc/Upload/130/details.pdf" TargetMode="External"/><Relationship Id="rId328" Type="http://schemas.openxmlformats.org/officeDocument/2006/relationships/hyperlink" Target="https://maps.app.goo.gl/wx1wwEgFLzYgdNxr6" TargetMode="External"/><Relationship Id="rId449" Type="http://schemas.openxmlformats.org/officeDocument/2006/relationships/hyperlink" Target="https://maps.app.goo.gl/qdVJ5JZA2bqzGZVr6" TargetMode="External"/><Relationship Id="rId440" Type="http://schemas.openxmlformats.org/officeDocument/2006/relationships/hyperlink" Target="https://maps.app.goo.gl/qdVJ5JZA2bqzGZVr6" TargetMode="External"/><Relationship Id="rId202" Type="http://schemas.openxmlformats.org/officeDocument/2006/relationships/hyperlink" Target="https://aleen.cc/Upload/130/details.pdf" TargetMode="External"/><Relationship Id="rId323" Type="http://schemas.openxmlformats.org/officeDocument/2006/relationships/hyperlink" Target="https://maps.app.goo.gl/wx1wwEgFLzYgdNxr6" TargetMode="External"/><Relationship Id="rId444" Type="http://schemas.openxmlformats.org/officeDocument/2006/relationships/hyperlink" Target="https://maps.app.goo.gl/qdVJ5JZA2bqzGZVr6" TargetMode="External"/><Relationship Id="rId201" Type="http://schemas.openxmlformats.org/officeDocument/2006/relationships/hyperlink" Target="https://aleen.cc/Upload/130/details.pdf" TargetMode="External"/><Relationship Id="rId322" Type="http://schemas.openxmlformats.org/officeDocument/2006/relationships/hyperlink" Target="https://maps.app.goo.gl/wx1wwEgFLzYgdNxr6" TargetMode="External"/><Relationship Id="rId443" Type="http://schemas.openxmlformats.org/officeDocument/2006/relationships/hyperlink" Target="https://maps.app.goo.gl/qdVJ5JZA2bqzGZVr6" TargetMode="External"/><Relationship Id="rId200" Type="http://schemas.openxmlformats.org/officeDocument/2006/relationships/hyperlink" Target="https://aleen.cc/Upload/130/details.pdf" TargetMode="External"/><Relationship Id="rId321" Type="http://schemas.openxmlformats.org/officeDocument/2006/relationships/hyperlink" Target="https://maps.app.goo.gl/wx1wwEgFLzYgdNxr6" TargetMode="External"/><Relationship Id="rId442" Type="http://schemas.openxmlformats.org/officeDocument/2006/relationships/hyperlink" Target="https://maps.app.goo.gl/qdVJ5JZA2bqzGZVr6" TargetMode="External"/><Relationship Id="rId320" Type="http://schemas.openxmlformats.org/officeDocument/2006/relationships/hyperlink" Target="https://maps.app.goo.gl/wx1wwEgFLzYgdNxr6" TargetMode="External"/><Relationship Id="rId441" Type="http://schemas.openxmlformats.org/officeDocument/2006/relationships/hyperlink" Target="https://maps.app.goo.gl/qdVJ5JZA2bqzGZVr6" TargetMode="External"/><Relationship Id="rId316" Type="http://schemas.openxmlformats.org/officeDocument/2006/relationships/hyperlink" Target="https://maps.app.goo.gl/wx1wwEgFLzYgdNxr6" TargetMode="External"/><Relationship Id="rId437" Type="http://schemas.openxmlformats.org/officeDocument/2006/relationships/hyperlink" Target="https://maps.app.goo.gl/qdVJ5JZA2bqzGZVr6" TargetMode="External"/><Relationship Id="rId315" Type="http://schemas.openxmlformats.org/officeDocument/2006/relationships/hyperlink" Target="https://maps.app.goo.gl/wx1wwEgFLzYgdNxr6" TargetMode="External"/><Relationship Id="rId436" Type="http://schemas.openxmlformats.org/officeDocument/2006/relationships/hyperlink" Target="https://maps.app.goo.gl/qdVJ5JZA2bqzGZVr6" TargetMode="External"/><Relationship Id="rId314" Type="http://schemas.openxmlformats.org/officeDocument/2006/relationships/hyperlink" Target="https://maps.app.goo.gl/wx1wwEgFLzYgdNxr6" TargetMode="External"/><Relationship Id="rId435" Type="http://schemas.openxmlformats.org/officeDocument/2006/relationships/hyperlink" Target="https://maps.app.goo.gl/qdVJ5JZA2bqzGZVr6" TargetMode="External"/><Relationship Id="rId313" Type="http://schemas.openxmlformats.org/officeDocument/2006/relationships/hyperlink" Target="https://maps.app.goo.gl/wx1wwEgFLzYgdNxr6" TargetMode="External"/><Relationship Id="rId434" Type="http://schemas.openxmlformats.org/officeDocument/2006/relationships/hyperlink" Target="https://maps.app.goo.gl/qdVJ5JZA2bqzGZVr6" TargetMode="External"/><Relationship Id="rId319" Type="http://schemas.openxmlformats.org/officeDocument/2006/relationships/hyperlink" Target="https://maps.app.goo.gl/wx1wwEgFLzYgdNxr6" TargetMode="External"/><Relationship Id="rId318" Type="http://schemas.openxmlformats.org/officeDocument/2006/relationships/hyperlink" Target="https://maps.app.goo.gl/wx1wwEgFLzYgdNxr6" TargetMode="External"/><Relationship Id="rId439" Type="http://schemas.openxmlformats.org/officeDocument/2006/relationships/hyperlink" Target="https://maps.app.goo.gl/qdVJ5JZA2bqzGZVr6" TargetMode="External"/><Relationship Id="rId317" Type="http://schemas.openxmlformats.org/officeDocument/2006/relationships/hyperlink" Target="https://maps.app.goo.gl/wx1wwEgFLzYgdNxr6" TargetMode="External"/><Relationship Id="rId438" Type="http://schemas.openxmlformats.org/officeDocument/2006/relationships/hyperlink" Target="https://maps.app.goo.gl/qdVJ5JZA2bqzGZVr6" TargetMode="External"/><Relationship Id="rId312" Type="http://schemas.openxmlformats.org/officeDocument/2006/relationships/hyperlink" Target="https://maps.app.goo.gl/wx1wwEgFLzYgdNxr6" TargetMode="External"/><Relationship Id="rId433" Type="http://schemas.openxmlformats.org/officeDocument/2006/relationships/hyperlink" Target="https://maps.app.goo.gl/qdVJ5JZA2bqzGZVr6" TargetMode="External"/><Relationship Id="rId311" Type="http://schemas.openxmlformats.org/officeDocument/2006/relationships/hyperlink" Target="https://maps.app.goo.gl/wx1wwEgFLzYgdNxr6" TargetMode="External"/><Relationship Id="rId432" Type="http://schemas.openxmlformats.org/officeDocument/2006/relationships/hyperlink" Target="https://maps.app.goo.gl/qdVJ5JZA2bqzGZVr6" TargetMode="External"/><Relationship Id="rId310" Type="http://schemas.openxmlformats.org/officeDocument/2006/relationships/hyperlink" Target="https://maps.app.goo.gl/wx1wwEgFLzYgdNxr6" TargetMode="External"/><Relationship Id="rId431" Type="http://schemas.openxmlformats.org/officeDocument/2006/relationships/hyperlink" Target="https://maps.app.goo.gl/qdVJ5JZA2bqzGZVr6" TargetMode="External"/><Relationship Id="rId430" Type="http://schemas.openxmlformats.org/officeDocument/2006/relationships/hyperlink" Target="https://maps.app.goo.gl/qdVJ5JZA2bqzGZVr6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x1wwEgFLzYgdNxr6" TargetMode="External"/><Relationship Id="rId2" Type="http://schemas.openxmlformats.org/officeDocument/2006/relationships/hyperlink" Target="https://maps.app.goo.gl/wx1wwEgFLzYgdNxr6" TargetMode="External"/><Relationship Id="rId3" Type="http://schemas.openxmlformats.org/officeDocument/2006/relationships/hyperlink" Target="https://maps.app.goo.gl/wx1wwEgFLzYgdNxr6" TargetMode="External"/><Relationship Id="rId4" Type="http://schemas.openxmlformats.org/officeDocument/2006/relationships/hyperlink" Target="https://maps.app.goo.gl/wx1wwEgFLzYgdNxr6" TargetMode="External"/><Relationship Id="rId9" Type="http://schemas.openxmlformats.org/officeDocument/2006/relationships/hyperlink" Target="https://maps.app.goo.gl/wx1wwEgFLzYgdNxr6" TargetMode="External"/><Relationship Id="rId5" Type="http://schemas.openxmlformats.org/officeDocument/2006/relationships/hyperlink" Target="https://maps.app.goo.gl/wx1wwEgFLzYgdNxr6" TargetMode="External"/><Relationship Id="rId6" Type="http://schemas.openxmlformats.org/officeDocument/2006/relationships/hyperlink" Target="https://maps.app.goo.gl/wx1wwEgFLzYgdNxr6" TargetMode="External"/><Relationship Id="rId7" Type="http://schemas.openxmlformats.org/officeDocument/2006/relationships/hyperlink" Target="https://maps.app.goo.gl/wx1wwEgFLzYgdNxr6" TargetMode="External"/><Relationship Id="rId8" Type="http://schemas.openxmlformats.org/officeDocument/2006/relationships/hyperlink" Target="https://maps.app.goo.gl/wx1wwEgFLzYgdNxr6" TargetMode="External"/><Relationship Id="rId31" Type="http://schemas.openxmlformats.org/officeDocument/2006/relationships/hyperlink" Target="https://maps.app.goo.gl/wx1wwEgFLzYgdNxr6" TargetMode="External"/><Relationship Id="rId30" Type="http://schemas.openxmlformats.org/officeDocument/2006/relationships/hyperlink" Target="https://maps.app.goo.gl/wx1wwEgFLzYgdNxr6" TargetMode="External"/><Relationship Id="rId33" Type="http://schemas.openxmlformats.org/officeDocument/2006/relationships/hyperlink" Target="https://maps.app.goo.gl/wx1wwEgFLzYgdNxr6" TargetMode="External"/><Relationship Id="rId32" Type="http://schemas.openxmlformats.org/officeDocument/2006/relationships/hyperlink" Target="https://maps.app.goo.gl/wx1wwEgFLzYgdNxr6" TargetMode="External"/><Relationship Id="rId35" Type="http://schemas.openxmlformats.org/officeDocument/2006/relationships/hyperlink" Target="https://maps.app.goo.gl/wx1wwEgFLzYgdNxr6" TargetMode="External"/><Relationship Id="rId34" Type="http://schemas.openxmlformats.org/officeDocument/2006/relationships/hyperlink" Target="https://maps.app.goo.gl/wx1wwEgFLzYgdNxr6" TargetMode="External"/><Relationship Id="rId37" Type="http://schemas.openxmlformats.org/officeDocument/2006/relationships/drawing" Target="../drawings/drawing6.xml"/><Relationship Id="rId36" Type="http://schemas.openxmlformats.org/officeDocument/2006/relationships/hyperlink" Target="https://maps.app.goo.gl/wx1wwEgFLzYgdNxr6" TargetMode="External"/><Relationship Id="rId20" Type="http://schemas.openxmlformats.org/officeDocument/2006/relationships/hyperlink" Target="https://maps.app.goo.gl/wx1wwEgFLzYgdNxr6" TargetMode="External"/><Relationship Id="rId22" Type="http://schemas.openxmlformats.org/officeDocument/2006/relationships/hyperlink" Target="https://maps.app.goo.gl/wx1wwEgFLzYgdNxr6" TargetMode="External"/><Relationship Id="rId21" Type="http://schemas.openxmlformats.org/officeDocument/2006/relationships/hyperlink" Target="https://maps.app.goo.gl/wx1wwEgFLzYgdNxr6" TargetMode="External"/><Relationship Id="rId24" Type="http://schemas.openxmlformats.org/officeDocument/2006/relationships/hyperlink" Target="https://maps.app.goo.gl/wx1wwEgFLzYgdNxr6" TargetMode="External"/><Relationship Id="rId23" Type="http://schemas.openxmlformats.org/officeDocument/2006/relationships/hyperlink" Target="https://maps.app.goo.gl/wx1wwEgFLzYgdNxr6" TargetMode="External"/><Relationship Id="rId26" Type="http://schemas.openxmlformats.org/officeDocument/2006/relationships/hyperlink" Target="https://maps.app.goo.gl/wx1wwEgFLzYgdNxr6" TargetMode="External"/><Relationship Id="rId25" Type="http://schemas.openxmlformats.org/officeDocument/2006/relationships/hyperlink" Target="https://maps.app.goo.gl/wx1wwEgFLzYgdNxr6" TargetMode="External"/><Relationship Id="rId28" Type="http://schemas.openxmlformats.org/officeDocument/2006/relationships/hyperlink" Target="https://maps.app.goo.gl/wx1wwEgFLzYgdNxr6" TargetMode="External"/><Relationship Id="rId27" Type="http://schemas.openxmlformats.org/officeDocument/2006/relationships/hyperlink" Target="https://maps.app.goo.gl/wx1wwEgFLzYgdNxr6" TargetMode="External"/><Relationship Id="rId29" Type="http://schemas.openxmlformats.org/officeDocument/2006/relationships/hyperlink" Target="https://maps.app.goo.gl/wx1wwEgFLzYgdNxr6" TargetMode="External"/><Relationship Id="rId11" Type="http://schemas.openxmlformats.org/officeDocument/2006/relationships/hyperlink" Target="https://maps.app.goo.gl/wx1wwEgFLzYgdNxr6" TargetMode="External"/><Relationship Id="rId10" Type="http://schemas.openxmlformats.org/officeDocument/2006/relationships/hyperlink" Target="https://maps.app.goo.gl/wx1wwEgFLzYgdNxr6" TargetMode="External"/><Relationship Id="rId13" Type="http://schemas.openxmlformats.org/officeDocument/2006/relationships/hyperlink" Target="https://maps.app.goo.gl/wx1wwEgFLzYgdNxr6" TargetMode="External"/><Relationship Id="rId12" Type="http://schemas.openxmlformats.org/officeDocument/2006/relationships/hyperlink" Target="https://maps.app.goo.gl/wx1wwEgFLzYgdNxr6" TargetMode="External"/><Relationship Id="rId15" Type="http://schemas.openxmlformats.org/officeDocument/2006/relationships/hyperlink" Target="https://maps.app.goo.gl/wx1wwEgFLzYgdNxr6" TargetMode="External"/><Relationship Id="rId14" Type="http://schemas.openxmlformats.org/officeDocument/2006/relationships/hyperlink" Target="https://maps.app.goo.gl/wx1wwEgFLzYgdNxr6" TargetMode="External"/><Relationship Id="rId17" Type="http://schemas.openxmlformats.org/officeDocument/2006/relationships/hyperlink" Target="https://maps.app.goo.gl/wx1wwEgFLzYgdNxr6" TargetMode="External"/><Relationship Id="rId16" Type="http://schemas.openxmlformats.org/officeDocument/2006/relationships/hyperlink" Target="https://maps.app.goo.gl/wx1wwEgFLzYgdNxr6" TargetMode="External"/><Relationship Id="rId19" Type="http://schemas.openxmlformats.org/officeDocument/2006/relationships/hyperlink" Target="https://maps.app.goo.gl/wx1wwEgFLzYgdNxr6" TargetMode="External"/><Relationship Id="rId18" Type="http://schemas.openxmlformats.org/officeDocument/2006/relationships/hyperlink" Target="https://maps.app.goo.gl/wx1wwEgFLzYgdNxr6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QzCjvzJ9MfCPR7U9" TargetMode="External"/><Relationship Id="rId2" Type="http://schemas.openxmlformats.org/officeDocument/2006/relationships/hyperlink" Target="https://maps.app.goo.gl/VQzCjvzJ9MfCPR7U9" TargetMode="External"/><Relationship Id="rId3" Type="http://schemas.openxmlformats.org/officeDocument/2006/relationships/hyperlink" Target="https://maps.app.goo.gl/VQzCjvzJ9MfCPR7U9" TargetMode="External"/><Relationship Id="rId4" Type="http://schemas.openxmlformats.org/officeDocument/2006/relationships/hyperlink" Target="https://maps.app.goo.gl/VQzCjvzJ9MfCPR7U9" TargetMode="External"/><Relationship Id="rId5" Type="http://schemas.openxmlformats.org/officeDocument/2006/relationships/hyperlink" Target="https://maps.app.goo.gl/VQzCjvzJ9MfCPR7U9" TargetMode="External"/><Relationship Id="rId6" Type="http://schemas.openxmlformats.org/officeDocument/2006/relationships/hyperlink" Target="https://maps.app.goo.gl/VQzCjvzJ9MfCPR7U9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HbNqmyyW7a6zVxRs7?g_st=ipc" TargetMode="External"/><Relationship Id="rId2" Type="http://schemas.openxmlformats.org/officeDocument/2006/relationships/hyperlink" Target="https://maps.app.goo.gl/HbNqmyyW7a6zVxRs7?g_st=ipc" TargetMode="External"/><Relationship Id="rId3" Type="http://schemas.openxmlformats.org/officeDocument/2006/relationships/hyperlink" Target="https://maps.app.goo.gl/HbNqmyyW7a6zVxRs7?g_st=ipc" TargetMode="External"/><Relationship Id="rId4" Type="http://schemas.openxmlformats.org/officeDocument/2006/relationships/hyperlink" Target="https://maps.app.goo.gl/HbNqmyyW7a6zVxRs7?g_st=ipc" TargetMode="External"/><Relationship Id="rId5" Type="http://schemas.openxmlformats.org/officeDocument/2006/relationships/hyperlink" Target="https://maps.app.goo.gl/HbNqmyyW7a6zVxRs7?g_st=ipc" TargetMode="External"/><Relationship Id="rId6" Type="http://schemas.openxmlformats.org/officeDocument/2006/relationships/hyperlink" Target="https://maps.app.goo.gl/HbNqmyyW7a6zVxRs7?g_st=ipc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oLz5KTAHqTimZF2T9" TargetMode="External"/><Relationship Id="rId2" Type="http://schemas.openxmlformats.org/officeDocument/2006/relationships/hyperlink" Target="https://maps.app.goo.gl/oLz5KTAHqTimZF2T9" TargetMode="External"/><Relationship Id="rId3" Type="http://schemas.openxmlformats.org/officeDocument/2006/relationships/hyperlink" Target="https://maps.app.goo.gl/oLz5KTAHqTimZF2T9" TargetMode="External"/><Relationship Id="rId4" Type="http://schemas.openxmlformats.org/officeDocument/2006/relationships/hyperlink" Target="https://maps.app.goo.gl/oLz5KTAHqTimZF2T9" TargetMode="External"/><Relationship Id="rId5" Type="http://schemas.openxmlformats.org/officeDocument/2006/relationships/hyperlink" Target="https://maps.app.goo.gl/oLz5KTAHqTimZF2T9" TargetMode="External"/><Relationship Id="rId6" Type="http://schemas.openxmlformats.org/officeDocument/2006/relationships/hyperlink" Target="https://maps.app.goo.gl/oLz5KTAHqTimZF2T9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qsJppfPit9RN8sY98" TargetMode="External"/><Relationship Id="rId2" Type="http://schemas.openxmlformats.org/officeDocument/2006/relationships/hyperlink" Target="https://maps.app.goo.gl/qsJppfPit9RN8sY98" TargetMode="External"/><Relationship Id="rId3" Type="http://schemas.openxmlformats.org/officeDocument/2006/relationships/hyperlink" Target="https://maps.app.goo.gl/qsJppfPit9RN8sY98" TargetMode="External"/><Relationship Id="rId4" Type="http://schemas.openxmlformats.org/officeDocument/2006/relationships/hyperlink" Target="https://maps.app.goo.gl/qsJppfPit9RN8sY98" TargetMode="External"/><Relationship Id="rId9" Type="http://schemas.openxmlformats.org/officeDocument/2006/relationships/hyperlink" Target="https://maps.app.goo.gl/qsJppfPit9RN8sY98" TargetMode="External"/><Relationship Id="rId5" Type="http://schemas.openxmlformats.org/officeDocument/2006/relationships/hyperlink" Target="https://maps.app.goo.gl/qsJppfPit9RN8sY98" TargetMode="External"/><Relationship Id="rId6" Type="http://schemas.openxmlformats.org/officeDocument/2006/relationships/hyperlink" Target="https://maps.app.goo.gl/qsJppfPit9RN8sY98" TargetMode="External"/><Relationship Id="rId7" Type="http://schemas.openxmlformats.org/officeDocument/2006/relationships/hyperlink" Target="https://maps.app.goo.gl/qsJppfPit9RN8sY98" TargetMode="External"/><Relationship Id="rId8" Type="http://schemas.openxmlformats.org/officeDocument/2006/relationships/hyperlink" Target="https://maps.app.goo.gl/qsJppfPit9RN8sY98" TargetMode="External"/><Relationship Id="rId11" Type="http://schemas.openxmlformats.org/officeDocument/2006/relationships/hyperlink" Target="https://maps.app.goo.gl/qsJppfPit9RN8sY98" TargetMode="External"/><Relationship Id="rId10" Type="http://schemas.openxmlformats.org/officeDocument/2006/relationships/hyperlink" Target="https://maps.app.goo.gl/qsJppfPit9RN8sY98" TargetMode="External"/><Relationship Id="rId13" Type="http://schemas.openxmlformats.org/officeDocument/2006/relationships/drawing" Target="../drawings/drawing10.xml"/><Relationship Id="rId12" Type="http://schemas.openxmlformats.org/officeDocument/2006/relationships/hyperlink" Target="https://maps.app.goo.gl/qsJppfPit9RN8sY98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MxaMUfvXSi6TrNt5" TargetMode="External"/><Relationship Id="rId2" Type="http://schemas.openxmlformats.org/officeDocument/2006/relationships/hyperlink" Target="https://maps.app.goo.gl/CMxaMUfvXSi6TrNt5" TargetMode="External"/><Relationship Id="rId3" Type="http://schemas.openxmlformats.org/officeDocument/2006/relationships/hyperlink" Target="https://maps.app.goo.gl/CMxaMUfvXSi6TrNt5" TargetMode="External"/><Relationship Id="rId4" Type="http://schemas.openxmlformats.org/officeDocument/2006/relationships/hyperlink" Target="https://maps.app.goo.gl/CMxaMUfvXSi6TrNt5" TargetMode="External"/><Relationship Id="rId9" Type="http://schemas.openxmlformats.org/officeDocument/2006/relationships/hyperlink" Target="https://maps.app.goo.gl/CMxaMUfvXSi6TrNt5" TargetMode="External"/><Relationship Id="rId5" Type="http://schemas.openxmlformats.org/officeDocument/2006/relationships/hyperlink" Target="https://maps.app.goo.gl/CMxaMUfvXSi6TrNt5" TargetMode="External"/><Relationship Id="rId6" Type="http://schemas.openxmlformats.org/officeDocument/2006/relationships/hyperlink" Target="https://maps.app.goo.gl/CMxaMUfvXSi6TrNt5" TargetMode="External"/><Relationship Id="rId7" Type="http://schemas.openxmlformats.org/officeDocument/2006/relationships/hyperlink" Target="https://maps.app.goo.gl/CMxaMUfvXSi6TrNt5" TargetMode="External"/><Relationship Id="rId8" Type="http://schemas.openxmlformats.org/officeDocument/2006/relationships/hyperlink" Target="https://maps.app.goo.gl/CMxaMUfvXSi6TrNt5" TargetMode="External"/><Relationship Id="rId11" Type="http://schemas.openxmlformats.org/officeDocument/2006/relationships/hyperlink" Target="https://maps.app.goo.gl/CMxaMUfvXSi6TrNt5" TargetMode="External"/><Relationship Id="rId10" Type="http://schemas.openxmlformats.org/officeDocument/2006/relationships/hyperlink" Target="https://maps.app.goo.gl/CMxaMUfvXSi6TrNt5" TargetMode="External"/><Relationship Id="rId13" Type="http://schemas.openxmlformats.org/officeDocument/2006/relationships/hyperlink" Target="https://maps.app.goo.gl/CMxaMUfvXSi6TrNt5" TargetMode="External"/><Relationship Id="rId12" Type="http://schemas.openxmlformats.org/officeDocument/2006/relationships/hyperlink" Target="https://maps.app.goo.gl/CMxaMUfvXSi6TrNt5" TargetMode="External"/><Relationship Id="rId1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irPzaUaLrvcgyAu49" TargetMode="External"/><Relationship Id="rId2" Type="http://schemas.openxmlformats.org/officeDocument/2006/relationships/hyperlink" Target="https://maps.app.goo.gl/irPzaUaLrvcgyAu49" TargetMode="External"/><Relationship Id="rId3" Type="http://schemas.openxmlformats.org/officeDocument/2006/relationships/hyperlink" Target="https://maps.app.goo.gl/irPzaUaLrvcgyAu49" TargetMode="External"/><Relationship Id="rId4" Type="http://schemas.openxmlformats.org/officeDocument/2006/relationships/hyperlink" Target="https://maps.app.goo.gl/irPzaUaLrvcgyAu49" TargetMode="External"/><Relationship Id="rId5" Type="http://schemas.openxmlformats.org/officeDocument/2006/relationships/hyperlink" Target="https://maps.app.goo.gl/irPzaUaLrvcgyAu49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y4PPVtti2qfr3m8z9" TargetMode="External"/><Relationship Id="rId2" Type="http://schemas.openxmlformats.org/officeDocument/2006/relationships/hyperlink" Target="https://aleen.cc/Upload/106/details.pdf" TargetMode="External"/><Relationship Id="rId3" Type="http://schemas.openxmlformats.org/officeDocument/2006/relationships/hyperlink" Target="https://aleen.cc/Upload/106/A-02.pdf" TargetMode="External"/><Relationship Id="rId4" Type="http://schemas.openxmlformats.org/officeDocument/2006/relationships/hyperlink" Target="https://maps.app.goo.gl/y4PPVtti2qfr3m8z9" TargetMode="External"/><Relationship Id="rId5" Type="http://schemas.openxmlformats.org/officeDocument/2006/relationships/hyperlink" Target="https://aleen.cc/Upload/106/details.pdf" TargetMode="External"/><Relationship Id="rId6" Type="http://schemas.openxmlformats.org/officeDocument/2006/relationships/hyperlink" Target="https://aleen.cc/Upload/106/B-02.pdf" TargetMode="External"/><Relationship Id="rId7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v5gYWbaA7QQA23C7" TargetMode="External"/><Relationship Id="rId2" Type="http://schemas.openxmlformats.org/officeDocument/2006/relationships/hyperlink" Target="https://aleen.cc/Upload/108/details.pdf" TargetMode="External"/><Relationship Id="rId3" Type="http://schemas.openxmlformats.org/officeDocument/2006/relationships/hyperlink" Target="https://aleen.cc/Upload/108/A-01.pdf" TargetMode="External"/><Relationship Id="rId4" Type="http://schemas.openxmlformats.org/officeDocument/2006/relationships/hyperlink" Target="https://maps.app.goo.gl/Zv5gYWbaA7QQA23C7" TargetMode="External"/><Relationship Id="rId9" Type="http://schemas.openxmlformats.org/officeDocument/2006/relationships/hyperlink" Target="https://aleen.cc/Upload/108/B-01.pdf" TargetMode="External"/><Relationship Id="rId5" Type="http://schemas.openxmlformats.org/officeDocument/2006/relationships/hyperlink" Target="https://aleen.cc/Upload/108/details.pdf" TargetMode="External"/><Relationship Id="rId6" Type="http://schemas.openxmlformats.org/officeDocument/2006/relationships/hyperlink" Target="https://aleen.cc/Upload/108/A-02.pdf" TargetMode="External"/><Relationship Id="rId7" Type="http://schemas.openxmlformats.org/officeDocument/2006/relationships/hyperlink" Target="https://maps.app.goo.gl/Zv5gYWbaA7QQA23C7" TargetMode="External"/><Relationship Id="rId8" Type="http://schemas.openxmlformats.org/officeDocument/2006/relationships/hyperlink" Target="https://aleen.cc/Upload/108/details.pdf" TargetMode="External"/><Relationship Id="rId11" Type="http://schemas.openxmlformats.org/officeDocument/2006/relationships/hyperlink" Target="https://aleen.cc/Upload/108/details.pdf" TargetMode="External"/><Relationship Id="rId10" Type="http://schemas.openxmlformats.org/officeDocument/2006/relationships/hyperlink" Target="https://maps.app.goo.gl/Zv5gYWbaA7QQA23C7" TargetMode="External"/><Relationship Id="rId13" Type="http://schemas.openxmlformats.org/officeDocument/2006/relationships/hyperlink" Target="https://maps.app.goo.gl/Zv5gYWbaA7QQA23C7" TargetMode="External"/><Relationship Id="rId12" Type="http://schemas.openxmlformats.org/officeDocument/2006/relationships/hyperlink" Target="https://aleen.cc/Upload/108/B-02.pdf" TargetMode="External"/><Relationship Id="rId15" Type="http://schemas.openxmlformats.org/officeDocument/2006/relationships/hyperlink" Target="https://aleen.cc/Upload/108/C-01.pdf" TargetMode="External"/><Relationship Id="rId14" Type="http://schemas.openxmlformats.org/officeDocument/2006/relationships/hyperlink" Target="https://aleen.cc/Upload/108/details.pdf" TargetMode="External"/><Relationship Id="rId17" Type="http://schemas.openxmlformats.org/officeDocument/2006/relationships/hyperlink" Target="https://aleen.cc/Upload/108/details.pdf" TargetMode="External"/><Relationship Id="rId16" Type="http://schemas.openxmlformats.org/officeDocument/2006/relationships/hyperlink" Target="https://maps.app.goo.gl/Zv5gYWbaA7QQA23C7" TargetMode="External"/><Relationship Id="rId19" Type="http://schemas.openxmlformats.org/officeDocument/2006/relationships/drawing" Target="../drawings/drawing14.xml"/><Relationship Id="rId18" Type="http://schemas.openxmlformats.org/officeDocument/2006/relationships/hyperlink" Target="https://aleen.cc/Upload/108/C-02.pdf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3gDHhxP3SsNPscp7" TargetMode="External"/><Relationship Id="rId2" Type="http://schemas.openxmlformats.org/officeDocument/2006/relationships/hyperlink" Target="https://aleen.cc/Upload/120/details.pdf" TargetMode="External"/><Relationship Id="rId3" Type="http://schemas.openxmlformats.org/officeDocument/2006/relationships/hyperlink" Target="https://aleen.cc/Upload/120/03.pdf" TargetMode="External"/><Relationship Id="rId4" Type="http://schemas.openxmlformats.org/officeDocument/2006/relationships/hyperlink" Target="https://maps.app.goo.gl/v3gDHhxP3SsNPscp7" TargetMode="External"/><Relationship Id="rId9" Type="http://schemas.openxmlformats.org/officeDocument/2006/relationships/hyperlink" Target="https://aleen.cc/Upload/120/07.pdf" TargetMode="External"/><Relationship Id="rId5" Type="http://schemas.openxmlformats.org/officeDocument/2006/relationships/hyperlink" Target="https://aleen.cc/Upload/120/details.pdf" TargetMode="External"/><Relationship Id="rId6" Type="http://schemas.openxmlformats.org/officeDocument/2006/relationships/hyperlink" Target="https://aleen.cc/Upload/120/06.pdf" TargetMode="External"/><Relationship Id="rId7" Type="http://schemas.openxmlformats.org/officeDocument/2006/relationships/hyperlink" Target="https://maps.app.goo.gl/v3gDHhxP3SsNPscp7" TargetMode="External"/><Relationship Id="rId8" Type="http://schemas.openxmlformats.org/officeDocument/2006/relationships/hyperlink" Target="https://aleen.cc/Upload/120/details.pdf" TargetMode="External"/><Relationship Id="rId11" Type="http://schemas.openxmlformats.org/officeDocument/2006/relationships/hyperlink" Target="https://aleen.cc/Upload/120/details.pdf" TargetMode="External"/><Relationship Id="rId10" Type="http://schemas.openxmlformats.org/officeDocument/2006/relationships/hyperlink" Target="https://maps.app.goo.gl/v3gDHhxP3SsNPscp7" TargetMode="External"/><Relationship Id="rId13" Type="http://schemas.openxmlformats.org/officeDocument/2006/relationships/hyperlink" Target="https://maps.app.goo.gl/v3gDHhxP3SsNPscp7" TargetMode="External"/><Relationship Id="rId12" Type="http://schemas.openxmlformats.org/officeDocument/2006/relationships/hyperlink" Target="https://aleen.cc/Upload/120/08.pdf" TargetMode="External"/><Relationship Id="rId15" Type="http://schemas.openxmlformats.org/officeDocument/2006/relationships/hyperlink" Target="https://aleen.cc/Upload/120/09.pdf" TargetMode="External"/><Relationship Id="rId14" Type="http://schemas.openxmlformats.org/officeDocument/2006/relationships/hyperlink" Target="https://aleen.cc/Upload/120/details.pdf" TargetMode="External"/><Relationship Id="rId17" Type="http://schemas.openxmlformats.org/officeDocument/2006/relationships/hyperlink" Target="https://aleen.cc/Upload/120/details.pdf" TargetMode="External"/><Relationship Id="rId16" Type="http://schemas.openxmlformats.org/officeDocument/2006/relationships/hyperlink" Target="https://maps.app.goo.gl/v3gDHhxP3SsNPscp7" TargetMode="External"/><Relationship Id="rId19" Type="http://schemas.openxmlformats.org/officeDocument/2006/relationships/drawing" Target="../drawings/drawing15.xml"/><Relationship Id="rId18" Type="http://schemas.openxmlformats.org/officeDocument/2006/relationships/hyperlink" Target="https://aleen.cc/Upload/120/12.pdf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fbK93s6v1kVooZMVA" TargetMode="External"/><Relationship Id="rId2" Type="http://schemas.openxmlformats.org/officeDocument/2006/relationships/hyperlink" Target="https://goo.gl/maps/fbK93s6v1kVooZMVA" TargetMode="External"/><Relationship Id="rId3" Type="http://schemas.openxmlformats.org/officeDocument/2006/relationships/hyperlink" Target="https://goo.gl/maps/fbK93s6v1kVooZMVA" TargetMode="External"/><Relationship Id="rId4" Type="http://schemas.openxmlformats.org/officeDocument/2006/relationships/hyperlink" Target="https://goo.gl/maps/fbK93s6v1kVooZMVA" TargetMode="External"/><Relationship Id="rId5" Type="http://schemas.openxmlformats.org/officeDocument/2006/relationships/hyperlink" Target="https://goo.gl/maps/fbK93s6v1kVooZMVA" TargetMode="External"/><Relationship Id="rId6" Type="http://schemas.openxmlformats.org/officeDocument/2006/relationships/hyperlink" Target="https://goo.gl/maps/fbK93s6v1kVooZMVA" TargetMode="External"/><Relationship Id="rId7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5yYbPMnuG8Xk46Kf8?g_st=ipc" TargetMode="External"/><Relationship Id="rId2" Type="http://schemas.openxmlformats.org/officeDocument/2006/relationships/hyperlink" Target="https://maps.app.goo.gl/5yYbPMnuG8Xk46Kf8?g_st=ipc" TargetMode="External"/><Relationship Id="rId3" Type="http://schemas.openxmlformats.org/officeDocument/2006/relationships/hyperlink" Target="https://maps.app.goo.gl/5yYbPMnuG8Xk46Kf8?g_st=ipc" TargetMode="External"/><Relationship Id="rId4" Type="http://schemas.openxmlformats.org/officeDocument/2006/relationships/hyperlink" Target="https://maps.app.goo.gl/5yYbPMnuG8Xk46Kf8?g_st=ipc" TargetMode="External"/><Relationship Id="rId9" Type="http://schemas.openxmlformats.org/officeDocument/2006/relationships/hyperlink" Target="https://maps.app.goo.gl/5yYbPMnuG8Xk46Kf8?g_st=ipc" TargetMode="External"/><Relationship Id="rId5" Type="http://schemas.openxmlformats.org/officeDocument/2006/relationships/hyperlink" Target="https://maps.app.goo.gl/5yYbPMnuG8Xk46Kf8?g_st=ipc" TargetMode="External"/><Relationship Id="rId6" Type="http://schemas.openxmlformats.org/officeDocument/2006/relationships/hyperlink" Target="https://maps.app.goo.gl/5yYbPMnuG8Xk46Kf8?g_st=ipc" TargetMode="External"/><Relationship Id="rId7" Type="http://schemas.openxmlformats.org/officeDocument/2006/relationships/hyperlink" Target="https://maps.app.goo.gl/5yYbPMnuG8Xk46Kf8?g_st=ipc" TargetMode="External"/><Relationship Id="rId8" Type="http://schemas.openxmlformats.org/officeDocument/2006/relationships/hyperlink" Target="https://maps.app.goo.gl/5yYbPMnuG8Xk46Kf8?g_st=ipc" TargetMode="External"/><Relationship Id="rId11" Type="http://schemas.openxmlformats.org/officeDocument/2006/relationships/hyperlink" Target="https://maps.app.goo.gl/5yYbPMnuG8Xk46Kf8?g_st=ipc" TargetMode="External"/><Relationship Id="rId10" Type="http://schemas.openxmlformats.org/officeDocument/2006/relationships/hyperlink" Target="https://maps.app.goo.gl/5yYbPMnuG8Xk46Kf8?g_st=ipc" TargetMode="External"/><Relationship Id="rId1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KhDLpCiJxxoQ1rnf8" TargetMode="External"/><Relationship Id="rId2" Type="http://schemas.openxmlformats.org/officeDocument/2006/relationships/hyperlink" Target="https://maps.app.goo.gl/KhDLpCiJxxoQ1rnf8" TargetMode="External"/><Relationship Id="rId3" Type="http://schemas.openxmlformats.org/officeDocument/2006/relationships/hyperlink" Target="https://maps.app.goo.gl/KhDLpCiJxxoQ1rnf8" TargetMode="External"/><Relationship Id="rId4" Type="http://schemas.openxmlformats.org/officeDocument/2006/relationships/hyperlink" Target="https://maps.app.goo.gl/KhDLpCiJxxoQ1rnf8" TargetMode="External"/><Relationship Id="rId9" Type="http://schemas.openxmlformats.org/officeDocument/2006/relationships/hyperlink" Target="https://maps.app.goo.gl/KhDLpCiJxxoQ1rnf8" TargetMode="External"/><Relationship Id="rId5" Type="http://schemas.openxmlformats.org/officeDocument/2006/relationships/hyperlink" Target="https://maps.app.goo.gl/KhDLpCiJxxoQ1rnf8" TargetMode="External"/><Relationship Id="rId6" Type="http://schemas.openxmlformats.org/officeDocument/2006/relationships/hyperlink" Target="https://maps.app.goo.gl/KhDLpCiJxxoQ1rnf8" TargetMode="External"/><Relationship Id="rId7" Type="http://schemas.openxmlformats.org/officeDocument/2006/relationships/hyperlink" Target="https://maps.app.goo.gl/KhDLpCiJxxoQ1rnf8" TargetMode="External"/><Relationship Id="rId8" Type="http://schemas.openxmlformats.org/officeDocument/2006/relationships/hyperlink" Target="https://maps.app.goo.gl/KhDLpCiJxxoQ1rnf8" TargetMode="External"/><Relationship Id="rId20" Type="http://schemas.openxmlformats.org/officeDocument/2006/relationships/hyperlink" Target="https://maps.app.goo.gl/KhDLpCiJxxoQ1rnf8" TargetMode="External"/><Relationship Id="rId22" Type="http://schemas.openxmlformats.org/officeDocument/2006/relationships/hyperlink" Target="https://maps.app.goo.gl/KhDLpCiJxxoQ1rnf8" TargetMode="External"/><Relationship Id="rId21" Type="http://schemas.openxmlformats.org/officeDocument/2006/relationships/hyperlink" Target="https://maps.app.goo.gl/KhDLpCiJxxoQ1rnf8" TargetMode="External"/><Relationship Id="rId24" Type="http://schemas.openxmlformats.org/officeDocument/2006/relationships/hyperlink" Target="https://maps.app.goo.gl/KhDLpCiJxxoQ1rnf8" TargetMode="External"/><Relationship Id="rId23" Type="http://schemas.openxmlformats.org/officeDocument/2006/relationships/hyperlink" Target="https://maps.app.goo.gl/KhDLpCiJxxoQ1rnf8" TargetMode="External"/><Relationship Id="rId25" Type="http://schemas.openxmlformats.org/officeDocument/2006/relationships/drawing" Target="../drawings/drawing19.xml"/><Relationship Id="rId11" Type="http://schemas.openxmlformats.org/officeDocument/2006/relationships/hyperlink" Target="https://maps.app.goo.gl/KhDLpCiJxxoQ1rnf8" TargetMode="External"/><Relationship Id="rId10" Type="http://schemas.openxmlformats.org/officeDocument/2006/relationships/hyperlink" Target="https://maps.app.goo.gl/KhDLpCiJxxoQ1rnf8" TargetMode="External"/><Relationship Id="rId13" Type="http://schemas.openxmlformats.org/officeDocument/2006/relationships/hyperlink" Target="https://maps.app.goo.gl/KhDLpCiJxxoQ1rnf8" TargetMode="External"/><Relationship Id="rId12" Type="http://schemas.openxmlformats.org/officeDocument/2006/relationships/hyperlink" Target="https://maps.app.goo.gl/KhDLpCiJxxoQ1rnf8" TargetMode="External"/><Relationship Id="rId15" Type="http://schemas.openxmlformats.org/officeDocument/2006/relationships/hyperlink" Target="https://maps.app.goo.gl/KhDLpCiJxxoQ1rnf8" TargetMode="External"/><Relationship Id="rId14" Type="http://schemas.openxmlformats.org/officeDocument/2006/relationships/hyperlink" Target="https://maps.app.goo.gl/KhDLpCiJxxoQ1rnf8" TargetMode="External"/><Relationship Id="rId17" Type="http://schemas.openxmlformats.org/officeDocument/2006/relationships/hyperlink" Target="https://maps.app.goo.gl/KhDLpCiJxxoQ1rnf8" TargetMode="External"/><Relationship Id="rId16" Type="http://schemas.openxmlformats.org/officeDocument/2006/relationships/hyperlink" Target="https://maps.app.goo.gl/KhDLpCiJxxoQ1rnf8" TargetMode="External"/><Relationship Id="rId19" Type="http://schemas.openxmlformats.org/officeDocument/2006/relationships/hyperlink" Target="https://maps.app.goo.gl/KhDLpCiJxxoQ1rnf8" TargetMode="External"/><Relationship Id="rId18" Type="http://schemas.openxmlformats.org/officeDocument/2006/relationships/hyperlink" Target="https://maps.app.goo.gl/KhDLpCiJxxoQ1rnf8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</sheetData>
  <mergeCells count="5">
    <mergeCell ref="A1:M1"/>
    <mergeCell ref="A2:M2"/>
    <mergeCell ref="A3:M3"/>
    <mergeCell ref="A4:M4"/>
    <mergeCell ref="A5:M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20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32</v>
      </c>
      <c r="AC1" s="5" t="s">
        <v>33</v>
      </c>
      <c r="AD1" s="5" t="s">
        <v>34</v>
      </c>
    </row>
    <row r="2">
      <c r="A2" s="7" t="s">
        <v>35</v>
      </c>
      <c r="B2" s="7" t="s">
        <v>35</v>
      </c>
      <c r="C2" s="8"/>
      <c r="D2" s="7"/>
      <c r="E2" s="7"/>
      <c r="F2" s="9" t="str">
        <f>IF(J2="دور","FL",
IF(J2="شقة","AP",
IF(J2="فيلا","VI",
IF(J2="تاون هاوس","TH",""))))
</f>
        <v/>
      </c>
      <c r="G2" s="7" t="str">
        <f>B2&amp;"-"&amp;I2&amp;"-"&amp;E2&amp;"-"&amp;F2</f>
        <v>----</v>
      </c>
      <c r="H2" s="7"/>
      <c r="I2" s="7"/>
      <c r="J2" s="8"/>
      <c r="K2" s="7"/>
      <c r="L2" s="10"/>
      <c r="M2" s="8"/>
      <c r="N2" s="11"/>
      <c r="O2" s="7"/>
      <c r="P2" s="12"/>
      <c r="Q2" s="11"/>
      <c r="R2" s="8"/>
      <c r="S2" s="8"/>
      <c r="T2" s="13"/>
      <c r="U2" s="14"/>
      <c r="V2" s="15"/>
      <c r="W2" s="16"/>
      <c r="X2" s="17"/>
      <c r="Y2" s="18"/>
      <c r="Z2" s="8"/>
      <c r="AA2" s="12"/>
      <c r="AB2" s="12"/>
      <c r="AC2" s="17"/>
      <c r="AD2" s="17"/>
    </row>
    <row r="3">
      <c r="E3" s="19" t="s">
        <v>9</v>
      </c>
      <c r="F3" s="20"/>
      <c r="G3" s="20"/>
      <c r="H3" s="20"/>
      <c r="I3" s="19" t="s">
        <v>13</v>
      </c>
      <c r="J3" s="19" t="s">
        <v>14</v>
      </c>
      <c r="K3" s="19" t="s">
        <v>15</v>
      </c>
      <c r="L3" s="19" t="s">
        <v>16</v>
      </c>
      <c r="M3" s="19" t="s">
        <v>17</v>
      </c>
      <c r="N3" s="19" t="s">
        <v>18</v>
      </c>
      <c r="O3" s="19" t="s">
        <v>19</v>
      </c>
      <c r="P3" s="19" t="s">
        <v>20</v>
      </c>
      <c r="Q3" s="19" t="s">
        <v>21</v>
      </c>
      <c r="R3" s="19" t="s">
        <v>22</v>
      </c>
      <c r="S3" s="19" t="s">
        <v>23</v>
      </c>
      <c r="T3" s="19" t="s">
        <v>24</v>
      </c>
      <c r="U3" s="19" t="s">
        <v>25</v>
      </c>
      <c r="W3" s="19" t="s">
        <v>27</v>
      </c>
      <c r="AA3" s="20"/>
      <c r="AB3" s="19" t="s">
        <v>32</v>
      </c>
      <c r="AC3" s="20"/>
      <c r="AD3" s="19" t="s">
        <v>34</v>
      </c>
    </row>
  </sheetData>
  <dataValidations>
    <dataValidation type="list" allowBlank="1" showErrorMessage="1" sqref="P2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J2">
      <formula1>"دور,تاون هاوس,فيلا,شقة"</formula1>
    </dataValidation>
    <dataValidation type="list" allowBlank="1" showErrorMessage="1" sqref="M2">
      <formula1>"تحت الإنشاء,متاحة,مباعة,محجوزة"</formula1>
    </dataValidation>
    <dataValidation type="list" allowBlank="1" showErrorMessage="1" sqref="R2">
      <formula1>"مؤسس,لا يوجد,جاهز"</formula1>
    </dataValidation>
    <dataValidation type="list" allowBlank="1" showErrorMessage="1" sqref="S2">
      <formula1>"ارضي,اول,ثاني,ثالث"</formula1>
    </dataValidation>
    <dataValidation type="list" allowBlank="1" showErrorMessage="1" sqref="W2">
      <formula1>"زاوية,واجهة"</formula1>
    </dataValidation>
    <dataValidation type="list" allowBlank="1" showErrorMessage="1" sqref="I2">
      <formula1>"A,B,C,D,E,F,G"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9" max="9" width="18.0"/>
    <col customWidth="1" min="10" max="10" width="20.63"/>
    <col customWidth="1" min="12" max="12" width="13.75"/>
    <col customWidth="1" min="14" max="14" width="6.25"/>
    <col customWidth="1" min="15" max="15" width="29.25"/>
    <col customWidth="1" min="16" max="16" width="15.5"/>
    <col customWidth="1" min="17" max="17" width="12.88"/>
    <col customWidth="1" min="18" max="18" width="62.5"/>
    <col customWidth="1" min="21" max="21" width="15.0"/>
    <col customWidth="1" min="22" max="22" width="13.63"/>
    <col customWidth="1" min="25" max="25" width="16.75"/>
    <col customWidth="1" min="28" max="28" width="14.63"/>
    <col customWidth="1" min="37" max="37" width="14.5"/>
    <col customWidth="1" min="40" max="41" width="12.88"/>
    <col customWidth="1" min="45" max="45" width="15.75"/>
    <col customWidth="1" min="47" max="47" width="15.75"/>
    <col customWidth="1" min="48" max="48" width="10.13"/>
    <col customWidth="1" min="49" max="49" width="14.38"/>
    <col customWidth="1" min="50" max="51" width="14.0"/>
    <col customWidth="1" min="52" max="52" width="11.13"/>
    <col customWidth="1" min="53" max="53" width="14.75"/>
  </cols>
  <sheetData>
    <row r="1">
      <c r="A1" s="21" t="s">
        <v>5</v>
      </c>
      <c r="B1" s="21" t="s">
        <v>6</v>
      </c>
      <c r="C1" s="21" t="s">
        <v>7</v>
      </c>
      <c r="D1" s="21" t="s">
        <v>8</v>
      </c>
      <c r="E1" s="21" t="s">
        <v>12</v>
      </c>
      <c r="F1" s="22" t="s">
        <v>36</v>
      </c>
      <c r="G1" s="22" t="s">
        <v>37</v>
      </c>
      <c r="H1" s="22" t="s">
        <v>38</v>
      </c>
      <c r="I1" s="21" t="s">
        <v>26</v>
      </c>
      <c r="J1" s="21" t="s">
        <v>39</v>
      </c>
      <c r="K1" s="21" t="s">
        <v>40</v>
      </c>
      <c r="L1" s="21" t="s">
        <v>29</v>
      </c>
      <c r="M1" s="21" t="s">
        <v>30</v>
      </c>
      <c r="N1" s="21" t="s">
        <v>31</v>
      </c>
      <c r="O1" s="21" t="s">
        <v>33</v>
      </c>
      <c r="P1" s="21" t="s">
        <v>41</v>
      </c>
      <c r="Q1" s="21" t="s">
        <v>42</v>
      </c>
      <c r="R1" s="23" t="s">
        <v>43</v>
      </c>
      <c r="S1" s="24" t="s">
        <v>44</v>
      </c>
      <c r="T1" s="24" t="s">
        <v>45</v>
      </c>
      <c r="U1" s="24" t="s">
        <v>46</v>
      </c>
      <c r="V1" s="24" t="s">
        <v>47</v>
      </c>
      <c r="W1" s="24" t="s">
        <v>48</v>
      </c>
      <c r="X1" s="24" t="s">
        <v>49</v>
      </c>
      <c r="Y1" s="24" t="s">
        <v>50</v>
      </c>
      <c r="Z1" s="24" t="s">
        <v>51</v>
      </c>
      <c r="AA1" s="24" t="s">
        <v>52</v>
      </c>
      <c r="AB1" s="24" t="s">
        <v>53</v>
      </c>
      <c r="AC1" s="24" t="s">
        <v>54</v>
      </c>
      <c r="AD1" s="24" t="s">
        <v>55</v>
      </c>
      <c r="AE1" s="24" t="s">
        <v>56</v>
      </c>
      <c r="AF1" s="24" t="s">
        <v>57</v>
      </c>
      <c r="AG1" s="24" t="s">
        <v>58</v>
      </c>
      <c r="AH1" s="24" t="s">
        <v>59</v>
      </c>
      <c r="AI1" s="24" t="s">
        <v>60</v>
      </c>
      <c r="AJ1" s="24" t="s">
        <v>61</v>
      </c>
      <c r="AK1" s="24" t="s">
        <v>62</v>
      </c>
      <c r="AL1" s="24" t="s">
        <v>63</v>
      </c>
      <c r="AM1" s="24" t="s">
        <v>64</v>
      </c>
      <c r="AN1" s="24" t="s">
        <v>65</v>
      </c>
      <c r="AO1" s="24" t="s">
        <v>66</v>
      </c>
      <c r="AP1" s="24" t="s">
        <v>67</v>
      </c>
      <c r="AQ1" s="24" t="s">
        <v>68</v>
      </c>
      <c r="AR1" s="24" t="s">
        <v>69</v>
      </c>
      <c r="AS1" s="24" t="s">
        <v>70</v>
      </c>
      <c r="AT1" s="24" t="s">
        <v>71</v>
      </c>
      <c r="AU1" s="24" t="s">
        <v>72</v>
      </c>
      <c r="AV1" s="24" t="s">
        <v>73</v>
      </c>
      <c r="AW1" s="24" t="s">
        <v>74</v>
      </c>
      <c r="AX1" s="24" t="s">
        <v>75</v>
      </c>
      <c r="AY1" s="24" t="s">
        <v>76</v>
      </c>
      <c r="AZ1" s="24" t="s">
        <v>77</v>
      </c>
      <c r="BA1" s="24" t="s">
        <v>78</v>
      </c>
      <c r="BB1" s="24" t="s">
        <v>79</v>
      </c>
      <c r="BC1" s="24" t="s">
        <v>80</v>
      </c>
    </row>
    <row r="2">
      <c r="A2" s="25">
        <v>1.0</v>
      </c>
      <c r="B2" s="7" t="s">
        <v>81</v>
      </c>
      <c r="C2" s="26" t="s">
        <v>82</v>
      </c>
      <c r="D2" s="25"/>
      <c r="E2" s="26" t="s">
        <v>83</v>
      </c>
      <c r="F2" s="26" t="str">
        <f>IF(COUNTIFS('الوحدات'!B:B,B2,'الوحدات'!M:M,"متاحة")&gt;0,"متاح",
IF(COUNTIFS('الوحدات'!B:B,B2,'الوحدات'!M:M,"&lt;&gt;")=0,
"",
IF(COUNTIFS('الوحدات'!B:B,B2,'الوحدات'!M:M,"تحت الإنشاء")=COUNTIFS('الوحدات'!B:B,B2,'الوحدات'!M:M,"&lt;&gt;"),
"تحت الإنشاء",
IF(COUNTIFS('الوحدات'!B:B,B2,'الوحدات'!M:M,"تحت الإنشاء")&gt;0,
"تحت الإنشاء جزئيا",
"مباعة"
))))
</f>
        <v>متاح</v>
      </c>
      <c r="G2" s="26" t="str">
        <f>IFERROR(__xludf.DUMMYFUNCTION("IF(SUMPRODUCT(('الوحدات'!B:B=B2)*REGEXMATCH(TRIM('الوحدات'!J:J),""^(تاون هاوس|دور|شقة|فيلا)$""))&gt;0,""سكني"","""")"),"سكني")</f>
        <v>سكني</v>
      </c>
      <c r="H2" s="26" t="str">
        <f>IFERROR(__xludf.DUMMYFUNCTION("TEXTJOIN(""-"", TRUE, UNIQUE(FILTER('الوحدات'!J:J, 'الوحدات'!B:B = B2)))
"),"دور-شقة")</f>
        <v>دور-شقة</v>
      </c>
      <c r="I2" s="27"/>
      <c r="J2" s="28" t="s">
        <v>84</v>
      </c>
      <c r="K2" s="29" t="s">
        <v>85</v>
      </c>
      <c r="L2" s="30" t="s">
        <v>86</v>
      </c>
      <c r="M2" s="26" t="s">
        <v>87</v>
      </c>
      <c r="N2" s="26" t="s">
        <v>88</v>
      </c>
      <c r="O2" s="31"/>
      <c r="P2" s="31"/>
      <c r="Q2" s="31"/>
      <c r="R2" s="12" t="s">
        <v>89</v>
      </c>
      <c r="S2" s="32">
        <f>COUNTIF('الوحدات'!B:B, B2)</f>
        <v>6</v>
      </c>
      <c r="T2" s="33">
        <f>COUNTIFS('الوحدات'!B:B, B2, 'الوحدات'!M:M, "متاحة")</f>
        <v>6</v>
      </c>
      <c r="U2" s="33">
        <f>COUNTIFS('الوحدات'!B:B, B2, 'الوحدات'!M:M, "تحت الإنشاء")</f>
        <v>0</v>
      </c>
      <c r="V2" s="33">
        <f>COUNTIFS('الوحدات'!B:B, B2, 'الوحدات'!M:M, "محجوزة")</f>
        <v>0</v>
      </c>
      <c r="W2" s="33">
        <f>COUNTIFS('الوحدات'!B:B, B2, 'الوحدات'!M:M, "مباعة")</f>
        <v>0</v>
      </c>
      <c r="X2" s="34">
        <f>IFERROR(AVERAGEIFS('الوحدات'!L:L, 'الوحدات'!B:B, B2), "")</f>
        <v>796666.6667</v>
      </c>
      <c r="Y2" s="35">
        <f>IFERROR(AVERAGEIFS('الوحدات'!L:L, 'الوحدات'!B:B, B2, 'الوحدات'!M:M, "متاحة"), "")</f>
        <v>796666.6667</v>
      </c>
      <c r="Z2" s="34">
        <f>IFERROR(SUMIFS('الوحدات'!L:L, 'الوحدات'!B:B, B2), "")</f>
        <v>4780000</v>
      </c>
      <c r="AA2" s="36">
        <f t="shared" ref="AA2:AA35" si="5">AE2/Z2</f>
        <v>0</v>
      </c>
      <c r="AB2" s="34">
        <f>IFERROR(SUMIFS('الوحدات'!L:L, 'الوحدات'!B:B, B2, 'الوحدات'!M:M, "تحت الإنشاء"), "")</f>
        <v>0</v>
      </c>
      <c r="AC2" s="34">
        <f>IFERROR(SUMIFS('الوحدات'!L:L, 'الوحدات'!B:B, B2, 'الوحدات'!M:M, "متاحة"), "")</f>
        <v>4780000</v>
      </c>
      <c r="AD2" s="34">
        <f>IFERROR(SUMIFS('الوحدات'!L:L, 'الوحدات'!B:B, B2, 'الوحدات'!M:M, "محجوزة"), "")</f>
        <v>0</v>
      </c>
      <c r="AE2" s="34">
        <f>IFERROR(SUMIFS('الوحدات'!L:L, 'الوحدات'!B:B, B2, 'الوحدات'!M:M, "مباعة"), "")</f>
        <v>0</v>
      </c>
      <c r="AF2" s="34">
        <f>IFERROR(MINIFS('الوحدات'!L:L, 'الوحدات'!B:B, B2), "")</f>
        <v>600000</v>
      </c>
      <c r="AG2" s="34">
        <f>IFERROR(MINIFS('الوحدات'!L:L, 'الوحدات'!B:B, B2, 'الوحدات'!M:M, "متاحة"), "")</f>
        <v>600000</v>
      </c>
      <c r="AH2" s="34">
        <f>IFERROR(MAXIFS('الوحدات'!L:L, 'الوحدات'!B:B, B2), "")</f>
        <v>990000</v>
      </c>
      <c r="AI2" s="34">
        <f>IFERROR(MAXIFS('الوحدات'!L:L, 'الوحدات'!B:B, B2, 'الوحدات'!M:M, "متاحة"), "")</f>
        <v>990000</v>
      </c>
      <c r="AJ2" s="32" t="str">
        <f t="shared" ref="AJ2:AK2" si="1">AH2&amp;"-"&amp;AF2</f>
        <v>990000-600000</v>
      </c>
      <c r="AK2" s="37" t="str">
        <f t="shared" si="1"/>
        <v>990000-600000</v>
      </c>
      <c r="AL2" s="33">
        <f>IFERROR(MINIFS('الوحدات'!K:K, 'الوحدات'!B:B, B2), "")</f>
        <v>186</v>
      </c>
      <c r="AM2" s="33">
        <f>IFERROR(MINIFS('الوحدات'!K:K, 'الوحدات'!B:B, B2, 'الوحدات'!M:M, "متاحة"), "")</f>
        <v>186</v>
      </c>
      <c r="AN2" s="33">
        <f>IFERROR(MAXIFS('الوحدات'!K:K, 'الوحدات'!B:B, B2), "")</f>
        <v>258</v>
      </c>
      <c r="AO2" s="33">
        <f>IFERROR(MAXIFS('الوحدات'!K:K, 'الوحدات'!B:B, B2, 'الوحدات'!M:M, "متاحة"), "")</f>
        <v>258</v>
      </c>
      <c r="AP2" s="32" t="str">
        <f t="shared" ref="AP2:AQ2" si="2">AN2&amp;"-"&amp;AL2</f>
        <v>258-186</v>
      </c>
      <c r="AQ2" s="32" t="str">
        <f t="shared" si="2"/>
        <v>258-186</v>
      </c>
      <c r="AR2" s="33">
        <f>IFERROR(MINIFS('الوحدات'!N:N, 'الوحدات'!B:B, B2), "")</f>
        <v>2</v>
      </c>
      <c r="AS2" s="33">
        <f>IFERROR(MINIFS('الوحدات'!N:N, 'الوحدات'!B:B, B2, 'الوحدات'!M:M, "متاحة"), "")</f>
        <v>2</v>
      </c>
      <c r="AT2" s="33">
        <f>IFERROR(MAXIFS('الوحدات'!N:N, 'الوحدات'!B:B, B2), "")</f>
        <v>3</v>
      </c>
      <c r="AU2" s="33">
        <f>IFERROR(MAXIFS('الوحدات'!N:N, 'الوحدات'!B:B, B2, 'الوحدات'!M:M, "متاحة"), "")</f>
        <v>3</v>
      </c>
      <c r="AV2" s="14" t="str">
        <f t="shared" ref="AV2:AW2" si="3">AT2&amp;"-"&amp;AR2</f>
        <v>3-2</v>
      </c>
      <c r="AW2" s="14" t="str">
        <f t="shared" si="3"/>
        <v>3-2</v>
      </c>
      <c r="AX2" s="33">
        <f>IFERROR(MINIFS('الوحدات'!O:O, 'الوحدات'!B:B, B2), "")</f>
        <v>2</v>
      </c>
      <c r="AY2" s="38">
        <f>IFERROR(MINIFS('الوحدات'!O:O, 'الوحدات'!B:B, B2, 'الوحدات'!M:M, "متاحة"), "")</f>
        <v>2</v>
      </c>
      <c r="AZ2" s="38">
        <f>IFERROR(MAXIFS('الوحدات'!O:O, 'الوحدات'!B:B, B2), "")</f>
        <v>3</v>
      </c>
      <c r="BA2" s="33">
        <f>IFERROR(MAXIFS('الوحدات'!O:O, 'الوحدات'!B:B, B2, 'الوحدات'!M:M, "متاحة"), "")</f>
        <v>3</v>
      </c>
      <c r="BB2" s="14" t="str">
        <f t="shared" ref="BB2:BC2" si="4">AZ2&amp;"-"&amp;AX2</f>
        <v>3-2</v>
      </c>
      <c r="BC2" s="14" t="str">
        <f t="shared" si="4"/>
        <v>3-2</v>
      </c>
    </row>
    <row r="3">
      <c r="A3" s="25">
        <v>2.0</v>
      </c>
      <c r="B3" s="7" t="s">
        <v>90</v>
      </c>
      <c r="C3" s="26" t="s">
        <v>91</v>
      </c>
      <c r="D3" s="25"/>
      <c r="E3" s="26" t="s">
        <v>92</v>
      </c>
      <c r="F3" s="26" t="str">
        <f>IF(COUNTIFS('الوحدات'!B:B,B3,'الوحدات'!M:M,"متاحة")&gt;0,"متاح",
IF(COUNTIFS('الوحدات'!B:B,B3,'الوحدات'!M:M,"&lt;&gt;")=0,
"",
IF(COUNTIFS('الوحدات'!B:B,B3,'الوحدات'!M:M,"تحت الإنشاء")=COUNTIFS('الوحدات'!B:B,B3,'الوحدات'!M:M,"&lt;&gt;"),
"تحت الإنشاء",
IF(COUNTIFS('الوحدات'!B:B,B3,'الوحدات'!M:M,"تحت الإنشاء")&gt;0,
"تحت الإنشاء جزئيا",
"مباعة"
))))
</f>
        <v>متاح</v>
      </c>
      <c r="G3" s="26" t="str">
        <f>IFERROR(__xludf.DUMMYFUNCTION("IF(SUMPRODUCT(('الوحدات'!B:B=B3)*REGEXMATCH(TRIM('الوحدات'!J:J),""^(تاون هاوس|دور|شقة|فيلا)$""))&gt;0,""سكني"","""")"),"سكني")</f>
        <v>سكني</v>
      </c>
      <c r="H3" s="26" t="str">
        <f>IFERROR(__xludf.DUMMYFUNCTION("TEXTJOIN(""-"", TRUE, UNIQUE(FILTER('الوحدات'!J:J, 'الوحدات'!B:B = B3)))
"),"دور-شقة")</f>
        <v>دور-شقة</v>
      </c>
      <c r="I3" s="27"/>
      <c r="J3" s="28" t="s">
        <v>93</v>
      </c>
      <c r="K3" s="29" t="s">
        <v>85</v>
      </c>
      <c r="L3" s="39" t="s">
        <v>86</v>
      </c>
      <c r="M3" s="40" t="s">
        <v>87</v>
      </c>
      <c r="N3" s="26" t="s">
        <v>88</v>
      </c>
      <c r="O3" s="31"/>
      <c r="P3" s="31"/>
      <c r="Q3" s="31"/>
      <c r="R3" s="12" t="s">
        <v>89</v>
      </c>
      <c r="S3" s="32">
        <f>COUNTIF('الوحدات'!B:B, B3)</f>
        <v>6</v>
      </c>
      <c r="T3" s="33">
        <f>COUNTIFS('الوحدات'!B:B, B3, 'الوحدات'!M:M, "متاحة")</f>
        <v>3</v>
      </c>
      <c r="U3" s="33">
        <f>COUNTIFS('الوحدات'!B:B, B3, 'الوحدات'!M:M, "تحت الإنشاء")</f>
        <v>0</v>
      </c>
      <c r="V3" s="33">
        <f>COUNTIFS('الوحدات'!B:B, B3, 'الوحدات'!M:M, "محجوزة")</f>
        <v>0</v>
      </c>
      <c r="W3" s="33">
        <f>COUNTIFS('الوحدات'!B:B, B3, 'الوحدات'!M:M, "مباعة")</f>
        <v>3</v>
      </c>
      <c r="X3" s="34">
        <f>IFERROR(AVERAGEIFS('الوحدات'!L:L, 'الوحدات'!B:B, B3), "")</f>
        <v>856333.3333</v>
      </c>
      <c r="Y3" s="35">
        <f>IFERROR(AVERAGEIFS('الوحدات'!L:L, 'الوحدات'!B:B, B3, 'الوحدات'!M:M, "متاحة"), "")</f>
        <v>882666.6667</v>
      </c>
      <c r="Z3" s="34">
        <f>IFERROR(SUMIFS('الوحدات'!L:L, 'الوحدات'!B:B, B3), "")</f>
        <v>5138000</v>
      </c>
      <c r="AA3" s="36">
        <f t="shared" si="5"/>
        <v>0.4846243675</v>
      </c>
      <c r="AB3" s="34">
        <f>IFERROR(SUMIFS('الوحدات'!L:L, 'الوحدات'!B:B, B3, 'الوحدات'!M:M, "تحت الإنشاء"), "")</f>
        <v>0</v>
      </c>
      <c r="AC3" s="34">
        <f>IFERROR(SUMIFS('الوحدات'!L:L, 'الوحدات'!B:B, B3, 'الوحدات'!M:M, "متاحة"), "")</f>
        <v>2648000</v>
      </c>
      <c r="AD3" s="34">
        <f>IFERROR(SUMIFS('الوحدات'!L:L, 'الوحدات'!B:B, B3, 'الوحدات'!M:M, "محجوزة"), "")</f>
        <v>0</v>
      </c>
      <c r="AE3" s="34">
        <f>IFERROR(SUMIFS('الوحدات'!L:L, 'الوحدات'!B:B, B3, 'الوحدات'!M:M, "مباعة"), "")</f>
        <v>2490000</v>
      </c>
      <c r="AF3" s="34">
        <f>IFERROR(MINIFS('الوحدات'!L:L, 'الوحدات'!B:B, B3), "")</f>
        <v>750000</v>
      </c>
      <c r="AG3" s="34">
        <f>IFERROR(MINIFS('الوحدات'!L:L, 'الوحدات'!B:B, B3, 'الوحدات'!M:M, "متاحة"), "")</f>
        <v>829000</v>
      </c>
      <c r="AH3" s="34">
        <f>IFERROR(MAXIFS('الوحدات'!L:L, 'الوحدات'!B:B, B3), "")</f>
        <v>990000</v>
      </c>
      <c r="AI3" s="34">
        <f>IFERROR(MAXIFS('الوحدات'!L:L, 'الوحدات'!B:B, B3, 'الوحدات'!M:M, "متاحة"), "")</f>
        <v>990000</v>
      </c>
      <c r="AJ3" s="32" t="str">
        <f t="shared" ref="AJ3:AK3" si="6">AH3&amp;"-"&amp;AF3</f>
        <v>990000-750000</v>
      </c>
      <c r="AK3" s="37" t="str">
        <f t="shared" si="6"/>
        <v>990000-829000</v>
      </c>
      <c r="AL3" s="33">
        <f>IFERROR(MINIFS('الوحدات'!K:K, 'الوحدات'!B:B, B3), "")</f>
        <v>203</v>
      </c>
      <c r="AM3" s="33">
        <f>IFERROR(MINIFS('الوحدات'!K:K, 'الوحدات'!B:B, B3, 'الوحدات'!M:M, "متاحة"), "")</f>
        <v>222</v>
      </c>
      <c r="AN3" s="33">
        <f>IFERROR(MAXIFS('الوحدات'!K:K, 'الوحدات'!B:B, B3), "")</f>
        <v>259</v>
      </c>
      <c r="AO3" s="33">
        <f>IFERROR(MAXIFS('الوحدات'!K:K, 'الوحدات'!B:B, B3, 'الوحدات'!M:M, "متاحة"), "")</f>
        <v>259</v>
      </c>
      <c r="AP3" s="32" t="str">
        <f t="shared" ref="AP3:AQ3" si="7">AN3&amp;"-"&amp;AL3</f>
        <v>259-203</v>
      </c>
      <c r="AQ3" s="32" t="str">
        <f t="shared" si="7"/>
        <v>259-222</v>
      </c>
      <c r="AR3" s="33">
        <f>IFERROR(MINIFS('الوحدات'!N:N, 'الوحدات'!B:B, B3), "")</f>
        <v>0</v>
      </c>
      <c r="AS3" s="33">
        <f>IFERROR(MINIFS('الوحدات'!N:N, 'الوحدات'!B:B, B3, 'الوحدات'!M:M, "متاحة"), "")</f>
        <v>0</v>
      </c>
      <c r="AT3" s="33">
        <f>IFERROR(MAXIFS('الوحدات'!N:N, 'الوحدات'!B:B, B3), "")</f>
        <v>0</v>
      </c>
      <c r="AU3" s="33">
        <f>IFERROR(MAXIFS('الوحدات'!N:N, 'الوحدات'!B:B, B3, 'الوحدات'!M:M, "متاحة"), "")</f>
        <v>0</v>
      </c>
      <c r="AV3" s="14" t="str">
        <f t="shared" ref="AV3:AW3" si="8">AT3&amp;"-"&amp;AR3</f>
        <v>0-0</v>
      </c>
      <c r="AW3" s="14" t="str">
        <f t="shared" si="8"/>
        <v>0-0</v>
      </c>
      <c r="AX3" s="33">
        <f>IFERROR(MINIFS('الوحدات'!O:O, 'الوحدات'!B:B, B3), "")</f>
        <v>0</v>
      </c>
      <c r="AY3" s="38">
        <f>IFERROR(MINIFS('الوحدات'!O:O, 'الوحدات'!B:B, B3, 'الوحدات'!M:M, "متاحة"), "")</f>
        <v>0</v>
      </c>
      <c r="AZ3" s="38">
        <f>IFERROR(MAXIFS('الوحدات'!O:O, 'الوحدات'!B:B, B3), "")</f>
        <v>0</v>
      </c>
      <c r="BA3" s="33">
        <f>IFERROR(MAXIFS('الوحدات'!O:O, 'الوحدات'!B:B, B3, 'الوحدات'!M:M, "متاحة"), "")</f>
        <v>0</v>
      </c>
      <c r="BB3" s="14" t="str">
        <f t="shared" ref="BB3:BC3" si="9">AZ3&amp;"-"&amp;AX3</f>
        <v>0-0</v>
      </c>
      <c r="BC3" s="14" t="str">
        <f t="shared" si="9"/>
        <v>0-0</v>
      </c>
    </row>
    <row r="4">
      <c r="A4" s="25">
        <v>3.0</v>
      </c>
      <c r="B4" s="7" t="s">
        <v>94</v>
      </c>
      <c r="C4" s="26" t="s">
        <v>95</v>
      </c>
      <c r="D4" s="25"/>
      <c r="E4" s="26" t="s">
        <v>96</v>
      </c>
      <c r="F4" s="26" t="str">
        <f>IF(COUNTIFS('الوحدات'!B:B,B4,'الوحدات'!M:M,"متاحة")&gt;0,"متاح",
IF(COUNTIFS('الوحدات'!B:B,B4,'الوحدات'!M:M,"&lt;&gt;")=0,
"",
IF(COUNTIFS('الوحدات'!B:B,B4,'الوحدات'!M:M,"تحت الإنشاء")=COUNTIFS('الوحدات'!B:B,B4,'الوحدات'!M:M,"&lt;&gt;"),
"تحت الإنشاء",
IF(COUNTIFS('الوحدات'!B:B,B4,'الوحدات'!M:M,"تحت الإنشاء")&gt;0,
"تحت الإنشاء جزئيا",
"مباعة"
))))
</f>
        <v>متاح</v>
      </c>
      <c r="G4" s="26" t="str">
        <f>IFERROR(__xludf.DUMMYFUNCTION("IF(SUMPRODUCT(('الوحدات'!B:B=B4)*REGEXMATCH(TRIM('الوحدات'!J:J),""^(تاون هاوس|دور|شقة|فيلا)$""))&gt;0,""سكني"","""")"),"سكني")</f>
        <v>سكني</v>
      </c>
      <c r="H4" s="26" t="str">
        <f>IFERROR(__xludf.DUMMYFUNCTION("TEXTJOIN(""-"", TRUE, UNIQUE(FILTER('الوحدات'!J:J, 'الوحدات'!B:B = B4)))
"),"دور-شقة")</f>
        <v>دور-شقة</v>
      </c>
      <c r="I4" s="27"/>
      <c r="J4" s="41" t="s">
        <v>97</v>
      </c>
      <c r="K4" s="42" t="s">
        <v>98</v>
      </c>
      <c r="L4" s="39" t="s">
        <v>86</v>
      </c>
      <c r="M4" s="40" t="s">
        <v>87</v>
      </c>
      <c r="N4" s="26" t="s">
        <v>99</v>
      </c>
      <c r="O4" s="43" t="s">
        <v>100</v>
      </c>
      <c r="P4" s="44"/>
      <c r="Q4" s="44"/>
      <c r="R4" s="12" t="s">
        <v>89</v>
      </c>
      <c r="S4" s="32">
        <f>COUNTIF('الوحدات'!B:B, B4)</f>
        <v>6</v>
      </c>
      <c r="T4" s="33">
        <f>COUNTIFS('الوحدات'!B:B, B4, 'الوحدات'!M:M, "متاحة")</f>
        <v>4</v>
      </c>
      <c r="U4" s="33">
        <f>COUNTIFS('الوحدات'!B:B, B4, 'الوحدات'!M:M, "تحت الإنشاء")</f>
        <v>0</v>
      </c>
      <c r="V4" s="33">
        <f>COUNTIFS('الوحدات'!B:B, B4, 'الوحدات'!M:M, "محجوزة")</f>
        <v>1</v>
      </c>
      <c r="W4" s="33">
        <f>COUNTIFS('الوحدات'!B:B, B4, 'الوحدات'!M:M, "مباعة")</f>
        <v>1</v>
      </c>
      <c r="X4" s="34">
        <f>IFERROR(AVERAGEIFS('الوحدات'!L:L, 'الوحدات'!B:B, B4), "")</f>
        <v>1420000</v>
      </c>
      <c r="Y4" s="35">
        <f>IFERROR(AVERAGEIFS('الوحدات'!L:L, 'الوحدات'!B:B, B4, 'الوحدات'!M:M, "متاحة"), "")</f>
        <v>1372500</v>
      </c>
      <c r="Z4" s="34">
        <f>IFERROR(SUMIFS('الوحدات'!L:L, 'الوحدات'!B:B, B4), "")</f>
        <v>8520000</v>
      </c>
      <c r="AA4" s="36">
        <f t="shared" si="5"/>
        <v>0.1924882629</v>
      </c>
      <c r="AB4" s="34">
        <f>IFERROR(SUMIFS('الوحدات'!L:L, 'الوحدات'!B:B, B4, 'الوحدات'!M:M, "تحت الإنشاء"), "")</f>
        <v>0</v>
      </c>
      <c r="AC4" s="34">
        <f>IFERROR(SUMIFS('الوحدات'!L:L, 'الوحدات'!B:B, B4, 'الوحدات'!M:M, "متاحة"), "")</f>
        <v>5490000</v>
      </c>
      <c r="AD4" s="34">
        <f>IFERROR(SUMIFS('الوحدات'!L:L, 'الوحدات'!B:B, B4, 'الوحدات'!M:M, "محجوزة"), "")</f>
        <v>1390000</v>
      </c>
      <c r="AE4" s="34">
        <f>IFERROR(SUMIFS('الوحدات'!L:L, 'الوحدات'!B:B, B4, 'الوحدات'!M:M, "مباعة"), "")</f>
        <v>1640000</v>
      </c>
      <c r="AF4" s="34">
        <f>IFERROR(MINIFS('الوحدات'!L:L, 'الوحدات'!B:B, B4), "")</f>
        <v>1230000</v>
      </c>
      <c r="AG4" s="34">
        <f>IFERROR(MINIFS('الوحدات'!L:L, 'الوحدات'!B:B, B4, 'الوحدات'!M:M, "متاحة"), "")</f>
        <v>1230000</v>
      </c>
      <c r="AH4" s="34">
        <f>IFERROR(MAXIFS('الوحدات'!L:L, 'الوحدات'!B:B, B4), "")</f>
        <v>1640000</v>
      </c>
      <c r="AI4" s="34">
        <f>IFERROR(MAXIFS('الوحدات'!L:L, 'الوحدات'!B:B, B4, 'الوحدات'!M:M, "متاحة"), "")</f>
        <v>1640000</v>
      </c>
      <c r="AJ4" s="32" t="str">
        <f t="shared" ref="AJ4:AK4" si="10">AH4&amp;"-"&amp;AF4</f>
        <v>1640000-1230000</v>
      </c>
      <c r="AK4" s="37" t="str">
        <f t="shared" si="10"/>
        <v>1640000-1230000</v>
      </c>
      <c r="AL4" s="33">
        <f>IFERROR(MINIFS('الوحدات'!K:K, 'الوحدات'!B:B, B4), "")</f>
        <v>142</v>
      </c>
      <c r="AM4" s="33">
        <f>IFERROR(MINIFS('الوحدات'!K:K, 'الوحدات'!B:B, B4, 'الوحدات'!M:M, "متاحة"), "")</f>
        <v>142</v>
      </c>
      <c r="AN4" s="33">
        <f>IFERROR(MAXIFS('الوحدات'!K:K, 'الوحدات'!B:B, B4), "")</f>
        <v>214</v>
      </c>
      <c r="AO4" s="33">
        <f>IFERROR(MAXIFS('الوحدات'!K:K, 'الوحدات'!B:B, B4, 'الوحدات'!M:M, "متاحة"), "")</f>
        <v>214</v>
      </c>
      <c r="AP4" s="32" t="str">
        <f t="shared" ref="AP4:AQ4" si="11">AN4&amp;"-"&amp;AL4</f>
        <v>214-142</v>
      </c>
      <c r="AQ4" s="32" t="str">
        <f t="shared" si="11"/>
        <v>214-142</v>
      </c>
      <c r="AR4" s="33">
        <f>IFERROR(MINIFS('الوحدات'!N:N, 'الوحدات'!B:B, B4), "")</f>
        <v>3</v>
      </c>
      <c r="AS4" s="33">
        <f>IFERROR(MINIFS('الوحدات'!N:N, 'الوحدات'!B:B, B4, 'الوحدات'!M:M, "متاحة"), "")</f>
        <v>3</v>
      </c>
      <c r="AT4" s="33">
        <f>IFERROR(MAXIFS('الوحدات'!N:N, 'الوحدات'!B:B, B4), "")</f>
        <v>4</v>
      </c>
      <c r="AU4" s="33">
        <f>IFERROR(MAXIFS('الوحدات'!N:N, 'الوحدات'!B:B, B4, 'الوحدات'!M:M, "متاحة"), "")</f>
        <v>4</v>
      </c>
      <c r="AV4" s="14" t="str">
        <f t="shared" ref="AV4:AW4" si="12">AT4&amp;"-"&amp;AR4</f>
        <v>4-3</v>
      </c>
      <c r="AW4" s="14" t="str">
        <f t="shared" si="12"/>
        <v>4-3</v>
      </c>
      <c r="AX4" s="33">
        <f>IFERROR(MINIFS('الوحدات'!O:O, 'الوحدات'!B:B, B4), "")</f>
        <v>3</v>
      </c>
      <c r="AY4" s="38">
        <f>IFERROR(MINIFS('الوحدات'!O:O, 'الوحدات'!B:B, B4, 'الوحدات'!M:M, "متاحة"), "")</f>
        <v>3</v>
      </c>
      <c r="AZ4" s="38">
        <f>IFERROR(MAXIFS('الوحدات'!O:O, 'الوحدات'!B:B, B4), "")</f>
        <v>5</v>
      </c>
      <c r="BA4" s="33">
        <f>IFERROR(MAXIFS('الوحدات'!O:O, 'الوحدات'!B:B, B4, 'الوحدات'!M:M, "متاحة"), "")</f>
        <v>5</v>
      </c>
      <c r="BB4" s="14" t="str">
        <f t="shared" ref="BB4:BC4" si="13">AZ4&amp;"-"&amp;AX4</f>
        <v>5-3</v>
      </c>
      <c r="BC4" s="14" t="str">
        <f t="shared" si="13"/>
        <v>5-3</v>
      </c>
    </row>
    <row r="5">
      <c r="A5" s="25">
        <v>4.0</v>
      </c>
      <c r="B5" s="7" t="s">
        <v>101</v>
      </c>
      <c r="C5" s="26" t="s">
        <v>102</v>
      </c>
      <c r="D5" s="25"/>
      <c r="E5" s="26" t="s">
        <v>102</v>
      </c>
      <c r="F5" s="26" t="str">
        <f>IF(COUNTIFS('الوحدات'!B:B,B5,'الوحدات'!M:M,"متاحة")&gt;0,"متاح",
IF(COUNTIFS('الوحدات'!B:B,B5,'الوحدات'!M:M,"&lt;&gt;")=0,
"",
IF(COUNTIFS('الوحدات'!B:B,B5,'الوحدات'!M:M,"تحت الإنشاء")=COUNTIFS('الوحدات'!B:B,B5,'الوحدات'!M:M,"&lt;&gt;"),
"تحت الإنشاء",
IF(COUNTIFS('الوحدات'!B:B,B5,'الوحدات'!M:M,"تحت الإنشاء")&gt;0,
"تحت الإنشاء جزئيا",
"مباعة"
))))
</f>
        <v>متاح</v>
      </c>
      <c r="G5" s="26" t="str">
        <f>IFERROR(__xludf.DUMMYFUNCTION("IF(SUMPRODUCT(('الوحدات'!B:B=B5)*REGEXMATCH(TRIM('الوحدات'!J:J),""^(تاون هاوس|دور|شقة|فيلا)$""))&gt;0,""سكني"","""")"),"سكني")</f>
        <v>سكني</v>
      </c>
      <c r="H5" s="26" t="str">
        <f>IFERROR(__xludf.DUMMYFUNCTION("TEXTJOIN(""-"", TRUE, UNIQUE(FILTER('الوحدات'!J:J, 'الوحدات'!B:B = B5)))
"),"فيلا")</f>
        <v>فيلا</v>
      </c>
      <c r="I5" s="27"/>
      <c r="J5" s="41" t="s">
        <v>103</v>
      </c>
      <c r="K5" s="42" t="s">
        <v>98</v>
      </c>
      <c r="L5" s="39" t="s">
        <v>86</v>
      </c>
      <c r="M5" s="40" t="s">
        <v>87</v>
      </c>
      <c r="N5" s="26" t="s">
        <v>104</v>
      </c>
      <c r="O5" s="43" t="s">
        <v>105</v>
      </c>
      <c r="P5" s="44"/>
      <c r="Q5" s="44"/>
      <c r="R5" s="12" t="s">
        <v>89</v>
      </c>
      <c r="S5" s="32">
        <f>COUNTIF('الوحدات'!B:B, B5)</f>
        <v>12</v>
      </c>
      <c r="T5" s="33">
        <f>COUNTIFS('الوحدات'!B:B, B5, 'الوحدات'!M:M, "متاحة")</f>
        <v>5</v>
      </c>
      <c r="U5" s="33">
        <f>COUNTIFS('الوحدات'!B:B, B5, 'الوحدات'!M:M, "تحت الإنشاء")</f>
        <v>0</v>
      </c>
      <c r="V5" s="33">
        <f>COUNTIFS('الوحدات'!B:B, B5, 'الوحدات'!M:M, "محجوزة")</f>
        <v>4</v>
      </c>
      <c r="W5" s="33">
        <f>COUNTIFS('الوحدات'!B:B, B5, 'الوحدات'!M:M, "مباعة")</f>
        <v>3</v>
      </c>
      <c r="X5" s="34">
        <f>IFERROR(AVERAGEIFS('الوحدات'!L:L, 'الوحدات'!B:B, B5), "")</f>
        <v>1693333.333</v>
      </c>
      <c r="Y5" s="35">
        <f>IFERROR(AVERAGEIFS('الوحدات'!L:L, 'الوحدات'!B:B, B5, 'الوحدات'!M:M, "متاحة"), "")</f>
        <v>1664000</v>
      </c>
      <c r="Z5" s="34">
        <f>IFERROR(SUMIFS('الوحدات'!L:L, 'الوحدات'!B:B, B5), "")</f>
        <v>20320000</v>
      </c>
      <c r="AA5" s="36">
        <f t="shared" si="5"/>
        <v>0.251476378</v>
      </c>
      <c r="AB5" s="34">
        <f>IFERROR(SUMIFS('الوحدات'!L:L, 'الوحدات'!B:B, B5, 'الوحدات'!M:M, "تحت الإنشاء"), "")</f>
        <v>0</v>
      </c>
      <c r="AC5" s="34">
        <f>IFERROR(SUMIFS('الوحدات'!L:L, 'الوحدات'!B:B, B5, 'الوحدات'!M:M, "متاحة"), "")</f>
        <v>8320000</v>
      </c>
      <c r="AD5" s="34">
        <f>IFERROR(SUMIFS('الوحدات'!L:L, 'الوحدات'!B:B, B5, 'الوحدات'!M:M, "محجوزة"), "")</f>
        <v>6890000</v>
      </c>
      <c r="AE5" s="34">
        <f>IFERROR(SUMIFS('الوحدات'!L:L, 'الوحدات'!B:B, B5, 'الوحدات'!M:M, "مباعة"), "")</f>
        <v>5110000</v>
      </c>
      <c r="AF5" s="34">
        <f>IFERROR(MINIFS('الوحدات'!L:L, 'الوحدات'!B:B, B5), "")</f>
        <v>1580000</v>
      </c>
      <c r="AG5" s="34">
        <f>IFERROR(MINIFS('الوحدات'!L:L, 'الوحدات'!B:B, B5, 'الوحدات'!M:M, "متاحة"), "")</f>
        <v>1610000</v>
      </c>
      <c r="AH5" s="34">
        <f>IFERROR(MAXIFS('الوحدات'!L:L, 'الوحدات'!B:B, B5), "")</f>
        <v>1890000</v>
      </c>
      <c r="AI5" s="34">
        <f>IFERROR(MAXIFS('الوحدات'!L:L, 'الوحدات'!B:B, B5, 'الوحدات'!M:M, "متاحة"), "")</f>
        <v>1880000</v>
      </c>
      <c r="AJ5" s="32" t="str">
        <f t="shared" ref="AJ5:AK5" si="14">AH5&amp;"-"&amp;AF5</f>
        <v>1890000-1580000</v>
      </c>
      <c r="AK5" s="37" t="str">
        <f t="shared" si="14"/>
        <v>1880000-1610000</v>
      </c>
      <c r="AL5" s="33">
        <f>IFERROR(MINIFS('الوحدات'!K:K, 'الوحدات'!B:B, B5), "")</f>
        <v>249</v>
      </c>
      <c r="AM5" s="33">
        <f>IFERROR(MINIFS('الوحدات'!K:K, 'الوحدات'!B:B, B5, 'الوحدات'!M:M, "متاحة"), "")</f>
        <v>249</v>
      </c>
      <c r="AN5" s="33">
        <f>IFERROR(MAXIFS('الوحدات'!K:K, 'الوحدات'!B:B, B5), "")</f>
        <v>282</v>
      </c>
      <c r="AO5" s="33">
        <f>IFERROR(MAXIFS('الوحدات'!K:K, 'الوحدات'!B:B, B5, 'الوحدات'!M:M, "متاحة"), "")</f>
        <v>282</v>
      </c>
      <c r="AP5" s="32" t="str">
        <f t="shared" ref="AP5:AQ5" si="15">AN5&amp;"-"&amp;AL5</f>
        <v>282-249</v>
      </c>
      <c r="AQ5" s="32" t="str">
        <f t="shared" si="15"/>
        <v>282-249</v>
      </c>
      <c r="AR5" s="33">
        <f>IFERROR(MINIFS('الوحدات'!N:N, 'الوحدات'!B:B, B5), "")</f>
        <v>4</v>
      </c>
      <c r="AS5" s="33">
        <f>IFERROR(MINIFS('الوحدات'!N:N, 'الوحدات'!B:B, B5, 'الوحدات'!M:M, "متاحة"), "")</f>
        <v>4</v>
      </c>
      <c r="AT5" s="33">
        <f>IFERROR(MAXIFS('الوحدات'!N:N, 'الوحدات'!B:B, B5), "")</f>
        <v>4</v>
      </c>
      <c r="AU5" s="33">
        <f>IFERROR(MAXIFS('الوحدات'!N:N, 'الوحدات'!B:B, B5, 'الوحدات'!M:M, "متاحة"), "")</f>
        <v>4</v>
      </c>
      <c r="AV5" s="14" t="str">
        <f t="shared" ref="AV5:AW5" si="16">AT5&amp;"-"&amp;AR5</f>
        <v>4-4</v>
      </c>
      <c r="AW5" s="14" t="str">
        <f t="shared" si="16"/>
        <v>4-4</v>
      </c>
      <c r="AX5" s="33">
        <f>IFERROR(MINIFS('الوحدات'!O:O, 'الوحدات'!B:B, B5), "")</f>
        <v>5</v>
      </c>
      <c r="AY5" s="38">
        <f>IFERROR(MINIFS('الوحدات'!O:O, 'الوحدات'!B:B, B5, 'الوحدات'!M:M, "متاحة"), "")</f>
        <v>5</v>
      </c>
      <c r="AZ5" s="38">
        <f>IFERROR(MAXIFS('الوحدات'!O:O, 'الوحدات'!B:B, B5), "")</f>
        <v>5</v>
      </c>
      <c r="BA5" s="33">
        <f>IFERROR(MAXIFS('الوحدات'!O:O, 'الوحدات'!B:B, B5, 'الوحدات'!M:M, "متاحة"), "")</f>
        <v>5</v>
      </c>
      <c r="BB5" s="14" t="str">
        <f t="shared" ref="BB5:BC5" si="17">AZ5&amp;"-"&amp;AX5</f>
        <v>5-5</v>
      </c>
      <c r="BC5" s="14" t="str">
        <f t="shared" si="17"/>
        <v>5-5</v>
      </c>
    </row>
    <row r="6">
      <c r="A6" s="25">
        <v>5.0</v>
      </c>
      <c r="B6" s="7" t="s">
        <v>106</v>
      </c>
      <c r="C6" s="26" t="s">
        <v>107</v>
      </c>
      <c r="D6" s="25"/>
      <c r="E6" s="26" t="s">
        <v>107</v>
      </c>
      <c r="F6" s="26" t="str">
        <f>IF(COUNTIFS('الوحدات'!B:B,B6,'الوحدات'!M:M,"متاحة")&gt;0,"متاح",
IF(COUNTIFS('الوحدات'!B:B,B6,'الوحدات'!M:M,"&lt;&gt;")=0,
"",
IF(COUNTIFS('الوحدات'!B:B,B6,'الوحدات'!M:M,"تحت الإنشاء")=COUNTIFS('الوحدات'!B:B,B6,'الوحدات'!M:M,"&lt;&gt;"),
"تحت الإنشاء",
IF(COUNTIFS('الوحدات'!B:B,B6,'الوحدات'!M:M,"تحت الإنشاء")&gt;0,
"تحت الإنشاء جزئيا",
"مباعة"
))))
</f>
        <v>متاح</v>
      </c>
      <c r="G6" s="26" t="str">
        <f>IFERROR(__xludf.DUMMYFUNCTION("IF(SUMPRODUCT(('الوحدات'!B:B=B6)*REGEXMATCH(TRIM('الوحدات'!J:J),""^(تاون هاوس|دور|شقة|فيلا)$""))&gt;0,""سكني"","""")"),"سكني")</f>
        <v>سكني</v>
      </c>
      <c r="H6" s="26" t="str">
        <f>IFERROR(__xludf.DUMMYFUNCTION("TEXTJOIN(""-"", TRUE, UNIQUE(FILTER('الوحدات'!J:J, 'الوحدات'!B:B = B6)))
"),"شقة")</f>
        <v>شقة</v>
      </c>
      <c r="I6" s="27"/>
      <c r="J6" s="41" t="s">
        <v>108</v>
      </c>
      <c r="K6" s="42" t="s">
        <v>98</v>
      </c>
      <c r="L6" s="39" t="s">
        <v>86</v>
      </c>
      <c r="M6" s="40" t="s">
        <v>87</v>
      </c>
      <c r="N6" s="26" t="s">
        <v>109</v>
      </c>
      <c r="O6" s="43" t="s">
        <v>110</v>
      </c>
      <c r="P6" s="44"/>
      <c r="Q6" s="44"/>
      <c r="R6" s="12" t="s">
        <v>89</v>
      </c>
      <c r="S6" s="32">
        <f>COUNTIF('الوحدات'!B:B, B6)</f>
        <v>13</v>
      </c>
      <c r="T6" s="33">
        <f>COUNTIFS('الوحدات'!B:B, B6, 'الوحدات'!M:M, "متاحة")</f>
        <v>6</v>
      </c>
      <c r="U6" s="33">
        <f>COUNTIFS('الوحدات'!B:B, B6, 'الوحدات'!M:M, "تحت الإنشاء")</f>
        <v>0</v>
      </c>
      <c r="V6" s="33">
        <f>COUNTIFS('الوحدات'!B:B, B6, 'الوحدات'!M:M, "محجوزة")</f>
        <v>0</v>
      </c>
      <c r="W6" s="33">
        <f>COUNTIFS('الوحدات'!B:B, B6, 'الوحدات'!M:M, "مباعة")</f>
        <v>7</v>
      </c>
      <c r="X6" s="34">
        <f>IFERROR(AVERAGEIFS('الوحدات'!L:L, 'الوحدات'!B:B, B6), "")</f>
        <v>983538.4615</v>
      </c>
      <c r="Y6" s="35">
        <f>IFERROR(AVERAGEIFS('الوحدات'!L:L, 'الوحدات'!B:B, B6, 'الوحدات'!M:M, "متاحة"), "")</f>
        <v>1050000</v>
      </c>
      <c r="Z6" s="34">
        <f>IFERROR(SUMIFS('الوحدات'!L:L, 'الوحدات'!B:B, B6), "")</f>
        <v>12786000</v>
      </c>
      <c r="AA6" s="36">
        <f t="shared" si="5"/>
        <v>0.5072735805</v>
      </c>
      <c r="AB6" s="34">
        <f>IFERROR(SUMIFS('الوحدات'!L:L, 'الوحدات'!B:B, B6, 'الوحدات'!M:M, "تحت الإنشاء"), "")</f>
        <v>0</v>
      </c>
      <c r="AC6" s="34">
        <f>IFERROR(SUMIFS('الوحدات'!L:L, 'الوحدات'!B:B, B6, 'الوحدات'!M:M, "متاحة"), "")</f>
        <v>6300000</v>
      </c>
      <c r="AD6" s="34">
        <f>IFERROR(SUMIFS('الوحدات'!L:L, 'الوحدات'!B:B, B6, 'الوحدات'!M:M, "محجوزة"), "")</f>
        <v>0</v>
      </c>
      <c r="AE6" s="34">
        <f>IFERROR(SUMIFS('الوحدات'!L:L, 'الوحدات'!B:B, B6, 'الوحدات'!M:M, "مباعة"), "")</f>
        <v>6486000</v>
      </c>
      <c r="AF6" s="34">
        <f>IFERROR(MINIFS('الوحدات'!L:L, 'الوحدات'!B:B, B6), "")</f>
        <v>830000</v>
      </c>
      <c r="AG6" s="34">
        <f>IFERROR(MINIFS('الوحدات'!L:L, 'الوحدات'!B:B, B6, 'الوحدات'!M:M, "متاحة"), "")</f>
        <v>830000</v>
      </c>
      <c r="AH6" s="34">
        <f>IFERROR(MAXIFS('الوحدات'!L:L, 'الوحدات'!B:B, B6), "")</f>
        <v>1330000</v>
      </c>
      <c r="AI6" s="34">
        <f>IFERROR(MAXIFS('الوحدات'!L:L, 'الوحدات'!B:B, B6, 'الوحدات'!M:M, "متاحة"), "")</f>
        <v>1330000</v>
      </c>
      <c r="AJ6" s="32" t="str">
        <f t="shared" ref="AJ6:AK6" si="18">AH6&amp;"-"&amp;AF6</f>
        <v>1330000-830000</v>
      </c>
      <c r="AK6" s="37" t="str">
        <f t="shared" si="18"/>
        <v>1330000-830000</v>
      </c>
      <c r="AL6" s="33">
        <f>IFERROR(MINIFS('الوحدات'!K:K, 'الوحدات'!B:B, B6), "")</f>
        <v>143</v>
      </c>
      <c r="AM6" s="33">
        <f>IFERROR(MINIFS('الوحدات'!K:K, 'الوحدات'!B:B, B6, 'الوحدات'!M:M, "متاحة"), "")</f>
        <v>143</v>
      </c>
      <c r="AN6" s="33">
        <f>IFERROR(MAXIFS('الوحدات'!K:K, 'الوحدات'!B:B, B6), "")</f>
        <v>281</v>
      </c>
      <c r="AO6" s="33">
        <f>IFERROR(MAXIFS('الوحدات'!K:K, 'الوحدات'!B:B, B6, 'الوحدات'!M:M, "متاحة"), "")</f>
        <v>251</v>
      </c>
      <c r="AP6" s="32" t="str">
        <f t="shared" ref="AP6:AQ6" si="19">AN6&amp;"-"&amp;AL6</f>
        <v>281-143</v>
      </c>
      <c r="AQ6" s="32" t="str">
        <f t="shared" si="19"/>
        <v>251-143</v>
      </c>
      <c r="AR6" s="33">
        <f>IFERROR(MINIFS('الوحدات'!N:N, 'الوحدات'!B:B, B6), "")</f>
        <v>3</v>
      </c>
      <c r="AS6" s="33">
        <f>IFERROR(MINIFS('الوحدات'!N:N, 'الوحدات'!B:B, B6, 'الوحدات'!M:M, "متاحة"), "")</f>
        <v>3</v>
      </c>
      <c r="AT6" s="33">
        <f>IFERROR(MAXIFS('الوحدات'!N:N, 'الوحدات'!B:B, B6), "")</f>
        <v>3</v>
      </c>
      <c r="AU6" s="33">
        <f>IFERROR(MAXIFS('الوحدات'!N:N, 'الوحدات'!B:B, B6, 'الوحدات'!M:M, "متاحة"), "")</f>
        <v>3</v>
      </c>
      <c r="AV6" s="14" t="str">
        <f t="shared" ref="AV6:AW6" si="20">AT6&amp;"-"&amp;AR6</f>
        <v>3-3</v>
      </c>
      <c r="AW6" s="14" t="str">
        <f t="shared" si="20"/>
        <v>3-3</v>
      </c>
      <c r="AX6" s="33">
        <f>IFERROR(MINIFS('الوحدات'!O:O, 'الوحدات'!B:B, B6), "")</f>
        <v>4</v>
      </c>
      <c r="AY6" s="38">
        <f>IFERROR(MINIFS('الوحدات'!O:O, 'الوحدات'!B:B, B6, 'الوحدات'!M:M, "متاحة"), "")</f>
        <v>4</v>
      </c>
      <c r="AZ6" s="38">
        <f>IFERROR(MAXIFS('الوحدات'!O:O, 'الوحدات'!B:B, B6), "")</f>
        <v>4</v>
      </c>
      <c r="BA6" s="33">
        <f>IFERROR(MAXIFS('الوحدات'!O:O, 'الوحدات'!B:B, B6, 'الوحدات'!M:M, "متاحة"), "")</f>
        <v>4</v>
      </c>
      <c r="BB6" s="14" t="str">
        <f t="shared" ref="BB6:BC6" si="21">AZ6&amp;"-"&amp;AX6</f>
        <v>4-4</v>
      </c>
      <c r="BC6" s="14" t="str">
        <f t="shared" si="21"/>
        <v>4-4</v>
      </c>
    </row>
    <row r="7">
      <c r="A7" s="45">
        <v>6.0</v>
      </c>
      <c r="B7" s="46" t="s">
        <v>111</v>
      </c>
      <c r="C7" s="47" t="s">
        <v>112</v>
      </c>
      <c r="D7" s="45">
        <v>79.0</v>
      </c>
      <c r="E7" s="47" t="s">
        <v>113</v>
      </c>
      <c r="F7" s="26" t="str">
        <f>IF(COUNTIFS('الوحدات'!B:B,B7,'الوحدات'!M:M,"متاحة")&gt;0,"متاح",
IF(COUNTIFS('الوحدات'!B:B,B7,'الوحدات'!M:M,"&lt;&gt;")=0,
"",
IF(COUNTIFS('الوحدات'!B:B,B7,'الوحدات'!M:M,"تحت الإنشاء")=COUNTIFS('الوحدات'!B:B,B7,'الوحدات'!M:M,"&lt;&gt;"),
"تحت الإنشاء",
IF(COUNTIFS('الوحدات'!B:B,B7,'الوحدات'!M:M,"تحت الإنشاء")&gt;0,
"تحت الإنشاء جزئيا",
"مباعة"
))))
</f>
        <v>متاح</v>
      </c>
      <c r="G7" s="26" t="str">
        <f>IFERROR(__xludf.DUMMYFUNCTION("IF(SUMPRODUCT(('الوحدات'!B:B=B7)*REGEXMATCH(TRIM('الوحدات'!J:J),""^(تاون هاوس|دور|شقة|فيلا)$""))&gt;0,""سكني"","""")"),"سكني")</f>
        <v>سكني</v>
      </c>
      <c r="H7" s="26" t="str">
        <f>IFERROR(__xludf.DUMMYFUNCTION("TEXTJOIN(""-"", TRUE, UNIQUE(FILTER('الوحدات'!J:J, 'الوحدات'!B:B = B7)))
"),"فيلا-دور")</f>
        <v>فيلا-دور</v>
      </c>
      <c r="I7" s="27"/>
      <c r="J7" s="48" t="s">
        <v>114</v>
      </c>
      <c r="K7" s="49" t="s">
        <v>85</v>
      </c>
      <c r="L7" s="39" t="s">
        <v>86</v>
      </c>
      <c r="M7" s="40" t="s">
        <v>87</v>
      </c>
      <c r="N7" s="26" t="s">
        <v>115</v>
      </c>
      <c r="O7" s="50"/>
      <c r="P7" s="50"/>
      <c r="Q7" s="50"/>
      <c r="R7" s="51" t="s">
        <v>116</v>
      </c>
      <c r="S7" s="32">
        <f>COUNTIF('الوحدات'!B:B, B7)</f>
        <v>5</v>
      </c>
      <c r="T7" s="33">
        <f>COUNTIFS('الوحدات'!B:B, B7, 'الوحدات'!M:M, "متاحة")</f>
        <v>5</v>
      </c>
      <c r="U7" s="33">
        <f>COUNTIFS('الوحدات'!B:B, B7, 'الوحدات'!M:M, "تحت الإنشاء")</f>
        <v>0</v>
      </c>
      <c r="V7" s="33">
        <f>COUNTIFS('الوحدات'!B:B, B7, 'الوحدات'!M:M, "محجوزة")</f>
        <v>0</v>
      </c>
      <c r="W7" s="33">
        <f>COUNTIFS('الوحدات'!B:B, B7, 'الوحدات'!M:M, "مباعة")</f>
        <v>0</v>
      </c>
      <c r="X7" s="34">
        <f>IFERROR(AVERAGEIFS('الوحدات'!L:L, 'الوحدات'!B:B, B7), "")</f>
        <v>2690000</v>
      </c>
      <c r="Y7" s="35">
        <f>IFERROR(AVERAGEIFS('الوحدات'!L:L, 'الوحدات'!B:B, B7, 'الوحدات'!M:M, "متاحة"), "")</f>
        <v>2690000</v>
      </c>
      <c r="Z7" s="34">
        <f>IFERROR(SUMIFS('الوحدات'!L:L, 'الوحدات'!B:B, B7), "")</f>
        <v>13450000</v>
      </c>
      <c r="AA7" s="36">
        <f t="shared" si="5"/>
        <v>0</v>
      </c>
      <c r="AB7" s="34">
        <f>IFERROR(SUMIFS('الوحدات'!L:L, 'الوحدات'!B:B, B7, 'الوحدات'!M:M, "تحت الإنشاء"), "")</f>
        <v>0</v>
      </c>
      <c r="AC7" s="34">
        <f>IFERROR(SUMIFS('الوحدات'!L:L, 'الوحدات'!B:B, B7, 'الوحدات'!M:M, "متاحة"), "")</f>
        <v>13450000</v>
      </c>
      <c r="AD7" s="34">
        <f>IFERROR(SUMIFS('الوحدات'!L:L, 'الوحدات'!B:B, B7, 'الوحدات'!M:M, "محجوزة"), "")</f>
        <v>0</v>
      </c>
      <c r="AE7" s="34">
        <f>IFERROR(SUMIFS('الوحدات'!L:L, 'الوحدات'!B:B, B7, 'الوحدات'!M:M, "مباعة"), "")</f>
        <v>0</v>
      </c>
      <c r="AF7" s="34">
        <f>IFERROR(MINIFS('الوحدات'!L:L, 'الوحدات'!B:B, B7), "")</f>
        <v>1750000</v>
      </c>
      <c r="AG7" s="34">
        <f>IFERROR(MINIFS('الوحدات'!L:L, 'الوحدات'!B:B, B7, 'الوحدات'!M:M, "متاحة"), "")</f>
        <v>1750000</v>
      </c>
      <c r="AH7" s="34">
        <f>IFERROR(MAXIFS('الوحدات'!L:L, 'الوحدات'!B:B, B7), "")</f>
        <v>3900000</v>
      </c>
      <c r="AI7" s="34">
        <f>IFERROR(MAXIFS('الوحدات'!L:L, 'الوحدات'!B:B, B7, 'الوحدات'!M:M, "متاحة"), "")</f>
        <v>3900000</v>
      </c>
      <c r="AJ7" s="32" t="str">
        <f t="shared" ref="AJ7:AK7" si="22">AH7&amp;"-"&amp;AF7</f>
        <v>3900000-1750000</v>
      </c>
      <c r="AK7" s="37" t="str">
        <f t="shared" si="22"/>
        <v>3900000-1750000</v>
      </c>
      <c r="AL7" s="33">
        <f>IFERROR(MINIFS('الوحدات'!K:K, 'الوحدات'!B:B, B7), "")</f>
        <v>158</v>
      </c>
      <c r="AM7" s="33">
        <f>IFERROR(MINIFS('الوحدات'!K:K, 'الوحدات'!B:B, B7, 'الوحدات'!M:M, "متاحة"), "")</f>
        <v>158</v>
      </c>
      <c r="AN7" s="33">
        <f>IFERROR(MAXIFS('الوحدات'!K:K, 'الوحدات'!B:B, B7), "")</f>
        <v>258</v>
      </c>
      <c r="AO7" s="33">
        <f>IFERROR(MAXIFS('الوحدات'!K:K, 'الوحدات'!B:B, B7, 'الوحدات'!M:M, "متاحة"), "")</f>
        <v>258</v>
      </c>
      <c r="AP7" s="32" t="str">
        <f t="shared" ref="AP7:AQ7" si="23">AN7&amp;"-"&amp;AL7</f>
        <v>258-158</v>
      </c>
      <c r="AQ7" s="32" t="str">
        <f t="shared" si="23"/>
        <v>258-158</v>
      </c>
      <c r="AR7" s="33">
        <f>IFERROR(MINIFS('الوحدات'!N:N, 'الوحدات'!B:B, B7), "")</f>
        <v>3</v>
      </c>
      <c r="AS7" s="33">
        <f>IFERROR(MINIFS('الوحدات'!N:N, 'الوحدات'!B:B, B7, 'الوحدات'!M:M, "متاحة"), "")</f>
        <v>3</v>
      </c>
      <c r="AT7" s="33">
        <f>IFERROR(MAXIFS('الوحدات'!N:N, 'الوحدات'!B:B, B7), "")</f>
        <v>4</v>
      </c>
      <c r="AU7" s="33">
        <f>IFERROR(MAXIFS('الوحدات'!N:N, 'الوحدات'!B:B, B7, 'الوحدات'!M:M, "متاحة"), "")</f>
        <v>4</v>
      </c>
      <c r="AV7" s="14" t="str">
        <f t="shared" ref="AV7:AW7" si="24">AT7&amp;"-"&amp;AR7</f>
        <v>4-3</v>
      </c>
      <c r="AW7" s="14" t="str">
        <f t="shared" si="24"/>
        <v>4-3</v>
      </c>
      <c r="AX7" s="33">
        <f>IFERROR(MINIFS('الوحدات'!O:O, 'الوحدات'!B:B, B7), "")</f>
        <v>3</v>
      </c>
      <c r="AY7" s="38">
        <f>IFERROR(MINIFS('الوحدات'!O:O, 'الوحدات'!B:B, B7, 'الوحدات'!M:M, "متاحة"), "")</f>
        <v>3</v>
      </c>
      <c r="AZ7" s="38">
        <f>IFERROR(MAXIFS('الوحدات'!O:O, 'الوحدات'!B:B, B7), "")</f>
        <v>6</v>
      </c>
      <c r="BA7" s="33">
        <f>IFERROR(MAXIFS('الوحدات'!O:O, 'الوحدات'!B:B, B7, 'الوحدات'!M:M, "متاحة"), "")</f>
        <v>6</v>
      </c>
      <c r="BB7" s="14" t="str">
        <f t="shared" ref="BB7:BC7" si="25">AZ7&amp;"-"&amp;AX7</f>
        <v>6-3</v>
      </c>
      <c r="BC7" s="14" t="str">
        <f t="shared" si="25"/>
        <v>6-3</v>
      </c>
    </row>
    <row r="8">
      <c r="A8" s="25">
        <v>7.0</v>
      </c>
      <c r="B8" s="46" t="s">
        <v>117</v>
      </c>
      <c r="C8" s="47" t="s">
        <v>118</v>
      </c>
      <c r="D8" s="45">
        <v>106.0</v>
      </c>
      <c r="E8" s="47" t="s">
        <v>119</v>
      </c>
      <c r="F8" s="26" t="str">
        <f>IF(COUNTIFS('الوحدات'!B:B,B8,'الوحدات'!M:M,"متاحة")&gt;0,"متاح",
IF(COUNTIFS('الوحدات'!B:B,B8,'الوحدات'!M:M,"&lt;&gt;")=0,
"",
IF(COUNTIFS('الوحدات'!B:B,B8,'الوحدات'!M:M,"تحت الإنشاء")=COUNTIFS('الوحدات'!B:B,B8,'الوحدات'!M:M,"&lt;&gt;"),
"تحت الإنشاء",
IF(COUNTIFS('الوحدات'!B:B,B8,'الوحدات'!M:M,"تحت الإنشاء")&gt;0,
"تحت الإنشاء جزئيا",
"مباعة"
))))
</f>
        <v>تحت الإنشاء</v>
      </c>
      <c r="G8" s="26" t="str">
        <f>IFERROR(__xludf.DUMMYFUNCTION("IF(SUMPRODUCT(('الوحدات'!B:B=B8)*REGEXMATCH(TRIM('الوحدات'!J:J),""^(تاون هاوس|دور|شقة|فيلا)$""))&gt;0,""سكني"","""")"),"سكني")</f>
        <v>سكني</v>
      </c>
      <c r="H8" s="26" t="str">
        <f>IFERROR(__xludf.DUMMYFUNCTION("TEXTJOIN(""-"", TRUE, UNIQUE(FILTER('الوحدات'!J:J, 'الوحدات'!B:B = B8)))
"),"دور")</f>
        <v>دور</v>
      </c>
      <c r="I8" s="27"/>
      <c r="J8" s="48" t="s">
        <v>120</v>
      </c>
      <c r="K8" s="49" t="s">
        <v>98</v>
      </c>
      <c r="L8" s="52"/>
      <c r="M8" s="27" t="s">
        <v>87</v>
      </c>
      <c r="N8" s="26" t="s">
        <v>99</v>
      </c>
      <c r="O8" s="50" t="s">
        <v>121</v>
      </c>
      <c r="P8" s="50"/>
      <c r="Q8" s="50"/>
      <c r="R8" s="51" t="s">
        <v>122</v>
      </c>
      <c r="S8" s="32">
        <f>COUNTIF('الوحدات'!B:B, B8)</f>
        <v>2</v>
      </c>
      <c r="T8" s="33">
        <f>COUNTIFS('الوحدات'!B:B, B8, 'الوحدات'!M:M, "متاحة")</f>
        <v>0</v>
      </c>
      <c r="U8" s="33">
        <f>COUNTIFS('الوحدات'!B:B, B8, 'الوحدات'!M:M, "تحت الإنشاء")</f>
        <v>2</v>
      </c>
      <c r="V8" s="33">
        <f>COUNTIFS('الوحدات'!B:B, B8, 'الوحدات'!M:M, "محجوزة")</f>
        <v>0</v>
      </c>
      <c r="W8" s="33">
        <f>COUNTIFS('الوحدات'!B:B, B8, 'الوحدات'!M:M, "مباعة")</f>
        <v>0</v>
      </c>
      <c r="X8" s="34">
        <f>IFERROR(AVERAGEIFS('الوحدات'!L:L, 'الوحدات'!B:B, B8), "")</f>
        <v>1424000</v>
      </c>
      <c r="Y8" s="35" t="str">
        <f>IFERROR(AVERAGEIFS('الوحدات'!L:L, 'الوحدات'!B:B, B8, 'الوحدات'!M:M, "متاحة"), "")</f>
        <v/>
      </c>
      <c r="Z8" s="34">
        <f>IFERROR(SUMIFS('الوحدات'!L:L, 'الوحدات'!B:B, B8), "")</f>
        <v>2848000</v>
      </c>
      <c r="AA8" s="36">
        <f t="shared" si="5"/>
        <v>0</v>
      </c>
      <c r="AB8" s="34">
        <f>IFERROR(SUMIFS('الوحدات'!L:L, 'الوحدات'!B:B, B8, 'الوحدات'!M:M, "تحت الإنشاء"), "")</f>
        <v>2848000</v>
      </c>
      <c r="AC8" s="34">
        <f>IFERROR(SUMIFS('الوحدات'!L:L, 'الوحدات'!B:B, B8, 'الوحدات'!M:M, "متاحة"), "")</f>
        <v>0</v>
      </c>
      <c r="AD8" s="34">
        <f>IFERROR(SUMIFS('الوحدات'!L:L, 'الوحدات'!B:B, B8, 'الوحدات'!M:M, "محجوزة"), "")</f>
        <v>0</v>
      </c>
      <c r="AE8" s="34">
        <f>IFERROR(SUMIFS('الوحدات'!L:L, 'الوحدات'!B:B, B8, 'الوحدات'!M:M, "مباعة"), "")</f>
        <v>0</v>
      </c>
      <c r="AF8" s="34">
        <f>IFERROR(MINIFS('الوحدات'!L:L, 'الوحدات'!B:B, B8), "")</f>
        <v>1399000</v>
      </c>
      <c r="AG8" s="34">
        <f>IFERROR(MINIFS('الوحدات'!L:L, 'الوحدات'!B:B, B8, 'الوحدات'!M:M, "متاحة"), "")</f>
        <v>0</v>
      </c>
      <c r="AH8" s="34">
        <f>IFERROR(MAXIFS('الوحدات'!L:L, 'الوحدات'!B:B, B8), "")</f>
        <v>1449000</v>
      </c>
      <c r="AI8" s="34">
        <f>IFERROR(MAXIFS('الوحدات'!L:L, 'الوحدات'!B:B, B8, 'الوحدات'!M:M, "متاحة"), "")</f>
        <v>0</v>
      </c>
      <c r="AJ8" s="32" t="str">
        <f t="shared" ref="AJ8:AK8" si="26">AH8&amp;"-"&amp;AF8</f>
        <v>1449000-1399000</v>
      </c>
      <c r="AK8" s="37" t="str">
        <f t="shared" si="26"/>
        <v>0-0</v>
      </c>
      <c r="AL8" s="33">
        <f>IFERROR(MINIFS('الوحدات'!K:K, 'الوحدات'!B:B, B8), "")</f>
        <v>170</v>
      </c>
      <c r="AM8" s="33">
        <f>IFERROR(MINIFS('الوحدات'!K:K, 'الوحدات'!B:B, B8, 'الوحدات'!M:M, "متاحة"), "")</f>
        <v>0</v>
      </c>
      <c r="AN8" s="33">
        <f>IFERROR(MAXIFS('الوحدات'!K:K, 'الوحدات'!B:B, B8), "")</f>
        <v>170</v>
      </c>
      <c r="AO8" s="33">
        <f>IFERROR(MAXIFS('الوحدات'!K:K, 'الوحدات'!B:B, B8, 'الوحدات'!M:M, "متاحة"), "")</f>
        <v>0</v>
      </c>
      <c r="AP8" s="32" t="str">
        <f t="shared" ref="AP8:AQ8" si="27">AN8&amp;"-"&amp;AL8</f>
        <v>170-170</v>
      </c>
      <c r="AQ8" s="32" t="str">
        <f t="shared" si="27"/>
        <v>0-0</v>
      </c>
      <c r="AR8" s="33">
        <f>IFERROR(MINIFS('الوحدات'!N:N, 'الوحدات'!B:B, B8), "")</f>
        <v>3</v>
      </c>
      <c r="AS8" s="33">
        <f>IFERROR(MINIFS('الوحدات'!N:N, 'الوحدات'!B:B, B8, 'الوحدات'!M:M, "متاحة"), "")</f>
        <v>0</v>
      </c>
      <c r="AT8" s="33">
        <f>IFERROR(MAXIFS('الوحدات'!N:N, 'الوحدات'!B:B, B8), "")</f>
        <v>3</v>
      </c>
      <c r="AU8" s="33">
        <f>IFERROR(MAXIFS('الوحدات'!N:N, 'الوحدات'!B:B, B8, 'الوحدات'!M:M, "متاحة"), "")</f>
        <v>0</v>
      </c>
      <c r="AV8" s="14" t="str">
        <f t="shared" ref="AV8:AW8" si="28">AT8&amp;"-"&amp;AR8</f>
        <v>3-3</v>
      </c>
      <c r="AW8" s="14" t="str">
        <f t="shared" si="28"/>
        <v>0-0</v>
      </c>
      <c r="AX8" s="33">
        <f>IFERROR(MINIFS('الوحدات'!O:O, 'الوحدات'!B:B, B8), "")</f>
        <v>4</v>
      </c>
      <c r="AY8" s="38">
        <f>IFERROR(MINIFS('الوحدات'!O:O, 'الوحدات'!B:B, B8, 'الوحدات'!M:M, "متاحة"), "")</f>
        <v>0</v>
      </c>
      <c r="AZ8" s="38">
        <f>IFERROR(MAXIFS('الوحدات'!O:O, 'الوحدات'!B:B, B8), "")</f>
        <v>4</v>
      </c>
      <c r="BA8" s="33">
        <f>IFERROR(MAXIFS('الوحدات'!O:O, 'الوحدات'!B:B, B8, 'الوحدات'!M:M, "متاحة"), "")</f>
        <v>0</v>
      </c>
      <c r="BB8" s="14" t="str">
        <f t="shared" ref="BB8:BC8" si="29">AZ8&amp;"-"&amp;AX8</f>
        <v>4-4</v>
      </c>
      <c r="BC8" s="14" t="str">
        <f t="shared" si="29"/>
        <v>0-0</v>
      </c>
    </row>
    <row r="9">
      <c r="A9" s="45">
        <v>8.0</v>
      </c>
      <c r="B9" s="53" t="s">
        <v>123</v>
      </c>
      <c r="C9" s="26" t="s">
        <v>118</v>
      </c>
      <c r="D9" s="25">
        <v>108.0</v>
      </c>
      <c r="E9" s="26" t="s">
        <v>124</v>
      </c>
      <c r="F9" s="26" t="str">
        <f>IF(COUNTIFS('الوحدات'!B:B,B9,'الوحدات'!M:M,"متاحة")&gt;0,"متاح",
IF(COUNTIFS('الوحدات'!B:B,B9,'الوحدات'!M:M,"&lt;&gt;")=0,
"",
IF(COUNTIFS('الوحدات'!B:B,B9,'الوحدات'!M:M,"تحت الإنشاء")=COUNTIFS('الوحدات'!B:B,B9,'الوحدات'!M:M,"&lt;&gt;"),
"تحت الإنشاء",
IF(COUNTIFS('الوحدات'!B:B,B9,'الوحدات'!M:M,"تحت الإنشاء")&gt;0,
"تحت الإنشاء جزئيا",
"مباعة"
))))
</f>
        <v>تحت الإنشاء</v>
      </c>
      <c r="G9" s="26" t="str">
        <f>IFERROR(__xludf.DUMMYFUNCTION("IF(SUMPRODUCT(('الوحدات'!B:B=B9)*REGEXMATCH(TRIM('الوحدات'!J:J),""^(تاون هاوس|دور|شقة|فيلا)$""))&gt;0,""سكني"","""")"),"سكني")</f>
        <v>سكني</v>
      </c>
      <c r="H9" s="26" t="str">
        <f>IFERROR(__xludf.DUMMYFUNCTION("TEXTJOIN(""-"", TRUE, UNIQUE(FILTER('الوحدات'!J:J, 'الوحدات'!B:B = B9)))
"),"دور")</f>
        <v>دور</v>
      </c>
      <c r="I9" s="27"/>
      <c r="J9" s="28" t="s">
        <v>125</v>
      </c>
      <c r="K9" s="29" t="s">
        <v>98</v>
      </c>
      <c r="L9" s="39" t="s">
        <v>86</v>
      </c>
      <c r="M9" s="40" t="s">
        <v>87</v>
      </c>
      <c r="N9" s="26" t="s">
        <v>126</v>
      </c>
      <c r="O9" s="54" t="s">
        <v>127</v>
      </c>
      <c r="P9" s="55"/>
      <c r="Q9" s="55"/>
      <c r="R9" s="51" t="s">
        <v>128</v>
      </c>
      <c r="S9" s="32">
        <f>COUNTIF('الوحدات'!B:B, B9)</f>
        <v>6</v>
      </c>
      <c r="T9" s="33">
        <f>COUNTIFS('الوحدات'!B:B, B9, 'الوحدات'!M:M, "متاحة")</f>
        <v>0</v>
      </c>
      <c r="U9" s="33">
        <f>COUNTIFS('الوحدات'!B:B, B9, 'الوحدات'!M:M, "تحت الإنشاء")</f>
        <v>6</v>
      </c>
      <c r="V9" s="33">
        <f>COUNTIFS('الوحدات'!B:B, B9, 'الوحدات'!M:M, "محجوزة")</f>
        <v>0</v>
      </c>
      <c r="W9" s="33">
        <f>COUNTIFS('الوحدات'!B:B, B9, 'الوحدات'!M:M, "مباعة")</f>
        <v>0</v>
      </c>
      <c r="X9" s="34">
        <f>IFERROR(AVERAGEIFS('الوحدات'!L:L, 'الوحدات'!B:B, B9), "")</f>
        <v>1532333.333</v>
      </c>
      <c r="Y9" s="35" t="str">
        <f>IFERROR(AVERAGEIFS('الوحدات'!L:L, 'الوحدات'!B:B, B9, 'الوحدات'!M:M, "متاحة"), "")</f>
        <v/>
      </c>
      <c r="Z9" s="34">
        <f>IFERROR(SUMIFS('الوحدات'!L:L, 'الوحدات'!B:B, B9), "")</f>
        <v>9194000</v>
      </c>
      <c r="AA9" s="36">
        <f t="shared" si="5"/>
        <v>0</v>
      </c>
      <c r="AB9" s="34">
        <f>IFERROR(SUMIFS('الوحدات'!L:L, 'الوحدات'!B:B, B9, 'الوحدات'!M:M, "تحت الإنشاء"), "")</f>
        <v>9194000</v>
      </c>
      <c r="AC9" s="34">
        <f>IFERROR(SUMIFS('الوحدات'!L:L, 'الوحدات'!B:B, B9, 'الوحدات'!M:M, "متاحة"), "")</f>
        <v>0</v>
      </c>
      <c r="AD9" s="34">
        <f>IFERROR(SUMIFS('الوحدات'!L:L, 'الوحدات'!B:B, B9, 'الوحدات'!M:M, "محجوزة"), "")</f>
        <v>0</v>
      </c>
      <c r="AE9" s="34">
        <f>IFERROR(SUMIFS('الوحدات'!L:L, 'الوحدات'!B:B, B9, 'الوحدات'!M:M, "مباعة"), "")</f>
        <v>0</v>
      </c>
      <c r="AF9" s="34">
        <f>IFERROR(MINIFS('الوحدات'!L:L, 'الوحدات'!B:B, B9), "")</f>
        <v>1349000</v>
      </c>
      <c r="AG9" s="34">
        <f>IFERROR(MINIFS('الوحدات'!L:L, 'الوحدات'!B:B, B9, 'الوحدات'!M:M, "متاحة"), "")</f>
        <v>0</v>
      </c>
      <c r="AH9" s="34">
        <f>IFERROR(MAXIFS('الوحدات'!L:L, 'الوحدات'!B:B, B9), "")</f>
        <v>1699000</v>
      </c>
      <c r="AI9" s="34">
        <f>IFERROR(MAXIFS('الوحدات'!L:L, 'الوحدات'!B:B, B9, 'الوحدات'!M:M, "متاحة"), "")</f>
        <v>0</v>
      </c>
      <c r="AJ9" s="32" t="str">
        <f t="shared" ref="AJ9:AK9" si="30">AH9&amp;"-"&amp;AF9</f>
        <v>1699000-1349000</v>
      </c>
      <c r="AK9" s="37" t="str">
        <f t="shared" si="30"/>
        <v>0-0</v>
      </c>
      <c r="AL9" s="33">
        <f>IFERROR(MINIFS('الوحدات'!K:K, 'الوحدات'!B:B, B9), "")</f>
        <v>154</v>
      </c>
      <c r="AM9" s="33">
        <f>IFERROR(MINIFS('الوحدات'!K:K, 'الوحدات'!B:B, B9, 'الوحدات'!M:M, "متاحة"), "")</f>
        <v>0</v>
      </c>
      <c r="AN9" s="33">
        <f>IFERROR(MAXIFS('الوحدات'!K:K, 'الوحدات'!B:B, B9), "")</f>
        <v>179</v>
      </c>
      <c r="AO9" s="33">
        <f>IFERROR(MAXIFS('الوحدات'!K:K, 'الوحدات'!B:B, B9, 'الوحدات'!M:M, "متاحة"), "")</f>
        <v>0</v>
      </c>
      <c r="AP9" s="32" t="str">
        <f t="shared" ref="AP9:AQ9" si="31">AN9&amp;"-"&amp;AL9</f>
        <v>179-154</v>
      </c>
      <c r="AQ9" s="32" t="str">
        <f t="shared" si="31"/>
        <v>0-0</v>
      </c>
      <c r="AR9" s="33">
        <f>IFERROR(MINIFS('الوحدات'!N:N, 'الوحدات'!B:B, B9), "")</f>
        <v>3</v>
      </c>
      <c r="AS9" s="33">
        <f>IFERROR(MINIFS('الوحدات'!N:N, 'الوحدات'!B:B, B9, 'الوحدات'!M:M, "متاحة"), "")</f>
        <v>0</v>
      </c>
      <c r="AT9" s="33">
        <f>IFERROR(MAXIFS('الوحدات'!N:N, 'الوحدات'!B:B, B9), "")</f>
        <v>3</v>
      </c>
      <c r="AU9" s="33">
        <f>IFERROR(MAXIFS('الوحدات'!N:N, 'الوحدات'!B:B, B9, 'الوحدات'!M:M, "متاحة"), "")</f>
        <v>0</v>
      </c>
      <c r="AV9" s="14" t="str">
        <f t="shared" ref="AV9:AW9" si="32">AT9&amp;"-"&amp;AR9</f>
        <v>3-3</v>
      </c>
      <c r="AW9" s="14" t="str">
        <f t="shared" si="32"/>
        <v>0-0</v>
      </c>
      <c r="AX9" s="33">
        <f>IFERROR(MINIFS('الوحدات'!O:O, 'الوحدات'!B:B, B9), "")</f>
        <v>3</v>
      </c>
      <c r="AY9" s="38">
        <f>IFERROR(MINIFS('الوحدات'!O:O, 'الوحدات'!B:B, B9, 'الوحدات'!M:M, "متاحة"), "")</f>
        <v>0</v>
      </c>
      <c r="AZ9" s="38">
        <f>IFERROR(MAXIFS('الوحدات'!O:O, 'الوحدات'!B:B, B9), "")</f>
        <v>5</v>
      </c>
      <c r="BA9" s="33">
        <f>IFERROR(MAXIFS('الوحدات'!O:O, 'الوحدات'!B:B, B9, 'الوحدات'!M:M, "متاحة"), "")</f>
        <v>0</v>
      </c>
      <c r="BB9" s="14" t="str">
        <f t="shared" ref="BB9:BC9" si="33">AZ9&amp;"-"&amp;AX9</f>
        <v>5-3</v>
      </c>
      <c r="BC9" s="14" t="str">
        <f t="shared" si="33"/>
        <v>0-0</v>
      </c>
    </row>
    <row r="10">
      <c r="A10" s="25">
        <v>9.0</v>
      </c>
      <c r="B10" s="53" t="s">
        <v>129</v>
      </c>
      <c r="C10" s="26" t="s">
        <v>118</v>
      </c>
      <c r="D10" s="25">
        <v>120.0</v>
      </c>
      <c r="E10" s="26" t="s">
        <v>130</v>
      </c>
      <c r="F10" s="26" t="str">
        <f>IF(COUNTIFS('الوحدات'!B:B,B10,'الوحدات'!M:M,"متاحة")&gt;0,"متاح",
IF(COUNTIFS('الوحدات'!B:B,B10,'الوحدات'!M:M,"&lt;&gt;")=0,
"",
IF(COUNTIFS('الوحدات'!B:B,B10,'الوحدات'!M:M,"تحت الإنشاء")=COUNTIFS('الوحدات'!B:B,B10,'الوحدات'!M:M,"&lt;&gt;"),
"تحت الإنشاء",
IF(COUNTIFS('الوحدات'!B:B,B10,'الوحدات'!M:M,"تحت الإنشاء")&gt;0,
"تحت الإنشاء جزئيا",
"مباعة"
))))
</f>
        <v>تحت الإنشاء</v>
      </c>
      <c r="G10" s="26" t="str">
        <f>IFERROR(__xludf.DUMMYFUNCTION("IF(SUMPRODUCT(('الوحدات'!B:B=B10)*REGEXMATCH(TRIM('الوحدات'!J:J),""^(تاون هاوس|دور|شقة|فيلا)$""))&gt;0,""سكني"","""")"),"سكني")</f>
        <v>سكني</v>
      </c>
      <c r="H10" s="26" t="str">
        <f>IFERROR(__xludf.DUMMYFUNCTION("TEXTJOIN(""-"", TRUE, UNIQUE(FILTER('الوحدات'!J:J, 'الوحدات'!B:B = B10)))
"),"شقة")</f>
        <v>شقة</v>
      </c>
      <c r="I10" s="27"/>
      <c r="J10" s="28" t="s">
        <v>131</v>
      </c>
      <c r="K10" s="29" t="s">
        <v>85</v>
      </c>
      <c r="L10" s="39" t="s">
        <v>86</v>
      </c>
      <c r="M10" s="40" t="s">
        <v>87</v>
      </c>
      <c r="N10" s="26" t="s">
        <v>132</v>
      </c>
      <c r="O10" s="17" t="s">
        <v>133</v>
      </c>
      <c r="P10" s="17"/>
      <c r="Q10" s="17"/>
      <c r="R10" s="12" t="s">
        <v>134</v>
      </c>
      <c r="S10" s="32">
        <f>COUNTIF('الوحدات'!B:B, B10)</f>
        <v>6</v>
      </c>
      <c r="T10" s="33">
        <f>COUNTIFS('الوحدات'!B:B, B10, 'الوحدات'!M:M, "متاحة")</f>
        <v>0</v>
      </c>
      <c r="U10" s="33">
        <f>COUNTIFS('الوحدات'!B:B, B10, 'الوحدات'!M:M, "تحت الإنشاء")</f>
        <v>6</v>
      </c>
      <c r="V10" s="33">
        <f>COUNTIFS('الوحدات'!B:B, B10, 'الوحدات'!M:M, "محجوزة")</f>
        <v>0</v>
      </c>
      <c r="W10" s="33">
        <f>COUNTIFS('الوحدات'!B:B, B10, 'الوحدات'!M:M, "مباعة")</f>
        <v>0</v>
      </c>
      <c r="X10" s="34">
        <f>IFERROR(AVERAGEIFS('الوحدات'!L:L, 'الوحدات'!B:B, B10), "")</f>
        <v>1967333.333</v>
      </c>
      <c r="Y10" s="35" t="str">
        <f>IFERROR(AVERAGEIFS('الوحدات'!L:L, 'الوحدات'!B:B, B10, 'الوحدات'!M:M, "متاحة"), "")</f>
        <v/>
      </c>
      <c r="Z10" s="34">
        <f>IFERROR(SUMIFS('الوحدات'!L:L, 'الوحدات'!B:B, B10), "")</f>
        <v>11804000</v>
      </c>
      <c r="AA10" s="36">
        <f t="shared" si="5"/>
        <v>0</v>
      </c>
      <c r="AB10" s="34">
        <f>IFERROR(SUMIFS('الوحدات'!L:L, 'الوحدات'!B:B, B10, 'الوحدات'!M:M, "تحت الإنشاء"), "")</f>
        <v>11804000</v>
      </c>
      <c r="AC10" s="34">
        <f>IFERROR(SUMIFS('الوحدات'!L:L, 'الوحدات'!B:B, B10, 'الوحدات'!M:M, "متاحة"), "")</f>
        <v>0</v>
      </c>
      <c r="AD10" s="34">
        <f>IFERROR(SUMIFS('الوحدات'!L:L, 'الوحدات'!B:B, B10, 'الوحدات'!M:M, "محجوزة"), "")</f>
        <v>0</v>
      </c>
      <c r="AE10" s="34">
        <f>IFERROR(SUMIFS('الوحدات'!L:L, 'الوحدات'!B:B, B10, 'الوحدات'!M:M, "مباعة"), "")</f>
        <v>0</v>
      </c>
      <c r="AF10" s="34">
        <f>IFERROR(MINIFS('الوحدات'!L:L, 'الوحدات'!B:B, B10), "")</f>
        <v>1799000</v>
      </c>
      <c r="AG10" s="34">
        <f>IFERROR(MINIFS('الوحدات'!L:L, 'الوحدات'!B:B, B10, 'الوحدات'!M:M, "متاحة"), "")</f>
        <v>0</v>
      </c>
      <c r="AH10" s="34">
        <f>IFERROR(MAXIFS('الوحدات'!L:L, 'الوحدات'!B:B, B10), "")</f>
        <v>2149000</v>
      </c>
      <c r="AI10" s="34">
        <f>IFERROR(MAXIFS('الوحدات'!L:L, 'الوحدات'!B:B, B10, 'الوحدات'!M:M, "متاحة"), "")</f>
        <v>0</v>
      </c>
      <c r="AJ10" s="32" t="str">
        <f t="shared" ref="AJ10:AK10" si="34">AH10&amp;"-"&amp;AF10</f>
        <v>2149000-1799000</v>
      </c>
      <c r="AK10" s="37" t="str">
        <f t="shared" si="34"/>
        <v>0-0</v>
      </c>
      <c r="AL10" s="33">
        <f>IFERROR(MINIFS('الوحدات'!K:K, 'الوحدات'!B:B, B10), "")</f>
        <v>136</v>
      </c>
      <c r="AM10" s="33">
        <f>IFERROR(MINIFS('الوحدات'!K:K, 'الوحدات'!B:B, B10, 'الوحدات'!M:M, "متاحة"), "")</f>
        <v>0</v>
      </c>
      <c r="AN10" s="33">
        <f>IFERROR(MAXIFS('الوحدات'!K:K, 'الوحدات'!B:B, B10), "")</f>
        <v>136</v>
      </c>
      <c r="AO10" s="33">
        <f>IFERROR(MAXIFS('الوحدات'!K:K, 'الوحدات'!B:B, B10, 'الوحدات'!M:M, "متاحة"), "")</f>
        <v>0</v>
      </c>
      <c r="AP10" s="32" t="str">
        <f t="shared" ref="AP10:AQ10" si="35">AN10&amp;"-"&amp;AL10</f>
        <v>136-136</v>
      </c>
      <c r="AQ10" s="32" t="str">
        <f t="shared" si="35"/>
        <v>0-0</v>
      </c>
      <c r="AR10" s="33">
        <f>IFERROR(MINIFS('الوحدات'!N:N, 'الوحدات'!B:B, B10), "")</f>
        <v>3</v>
      </c>
      <c r="AS10" s="33">
        <f>IFERROR(MINIFS('الوحدات'!N:N, 'الوحدات'!B:B, B10, 'الوحدات'!M:M, "متاحة"), "")</f>
        <v>0</v>
      </c>
      <c r="AT10" s="33">
        <f>IFERROR(MAXIFS('الوحدات'!N:N, 'الوحدات'!B:B, B10), "")</f>
        <v>3</v>
      </c>
      <c r="AU10" s="33">
        <f>IFERROR(MAXIFS('الوحدات'!N:N, 'الوحدات'!B:B, B10, 'الوحدات'!M:M, "متاحة"), "")</f>
        <v>0</v>
      </c>
      <c r="AV10" s="14" t="str">
        <f t="shared" ref="AV10:AW10" si="36">AT10&amp;"-"&amp;AR10</f>
        <v>3-3</v>
      </c>
      <c r="AW10" s="14" t="str">
        <f t="shared" si="36"/>
        <v>0-0</v>
      </c>
      <c r="AX10" s="33">
        <f>IFERROR(MINIFS('الوحدات'!O:O, 'الوحدات'!B:B, B10), "")</f>
        <v>3</v>
      </c>
      <c r="AY10" s="38">
        <f>IFERROR(MINIFS('الوحدات'!O:O, 'الوحدات'!B:B, B10, 'الوحدات'!M:M, "متاحة"), "")</f>
        <v>0</v>
      </c>
      <c r="AZ10" s="38">
        <f>IFERROR(MAXIFS('الوحدات'!O:O, 'الوحدات'!B:B, B10), "")</f>
        <v>3</v>
      </c>
      <c r="BA10" s="33">
        <f>IFERROR(MAXIFS('الوحدات'!O:O, 'الوحدات'!B:B, B10, 'الوحدات'!M:M, "متاحة"), "")</f>
        <v>0</v>
      </c>
      <c r="BB10" s="14" t="str">
        <f t="shared" ref="BB10:BC10" si="37">AZ10&amp;"-"&amp;AX10</f>
        <v>3-3</v>
      </c>
      <c r="BC10" s="14" t="str">
        <f t="shared" si="37"/>
        <v>0-0</v>
      </c>
    </row>
    <row r="11">
      <c r="A11" s="45">
        <v>10.0</v>
      </c>
      <c r="B11" s="56" t="s">
        <v>135</v>
      </c>
      <c r="C11" s="57" t="s">
        <v>136</v>
      </c>
      <c r="D11" s="57">
        <v>21.0</v>
      </c>
      <c r="E11" s="57" t="s">
        <v>137</v>
      </c>
      <c r="F11" s="26" t="str">
        <f>IF(COUNTIFS('الوحدات'!B:B,B11,'الوحدات'!M:M,"متاحة")&gt;0,"متاح",
IF(COUNTIFS('الوحدات'!B:B,B11,'الوحدات'!M:M,"&lt;&gt;")=0,
"",
IF(COUNTIFS('الوحدات'!B:B,B11,'الوحدات'!M:M,"تحت الإنشاء")=COUNTIFS('الوحدات'!B:B,B11,'الوحدات'!M:M,"&lt;&gt;"),
"تحت الإنشاء",
IF(COUNTIFS('الوحدات'!B:B,B11,'الوحدات'!M:M,"تحت الإنشاء")&gt;0,
"تحت الإنشاء جزئيا",
"مباعة"
))))
</f>
        <v>متاح</v>
      </c>
      <c r="G11" s="26" t="str">
        <f>IFERROR(__xludf.DUMMYFUNCTION("IF(SUMPRODUCT(('الوحدات'!B:B=B11)*REGEXMATCH(TRIM('الوحدات'!J:J),""^(تاون هاوس|دور|شقة|فيلا)$""))&gt;0,""سكني"","""")"),"سكني")</f>
        <v>سكني</v>
      </c>
      <c r="H11" s="26" t="str">
        <f>IFERROR(__xludf.DUMMYFUNCTION("TEXTJOIN(""-"", TRUE, UNIQUE(FILTER('الوحدات'!J:J, 'الوحدات'!B:B = B11)))
"),"دور")</f>
        <v>دور</v>
      </c>
      <c r="I11" s="27"/>
      <c r="J11" s="58" t="s">
        <v>138</v>
      </c>
      <c r="K11" s="59" t="s">
        <v>85</v>
      </c>
      <c r="L11" s="60" t="s">
        <v>86</v>
      </c>
      <c r="M11" s="60" t="s">
        <v>87</v>
      </c>
      <c r="N11" s="57" t="s">
        <v>139</v>
      </c>
      <c r="O11" s="57"/>
      <c r="P11" s="57"/>
      <c r="Q11" s="57"/>
      <c r="R11" s="57"/>
      <c r="S11" s="32">
        <f>COUNTIF('الوحدات'!B:B, B11)</f>
        <v>6</v>
      </c>
      <c r="T11" s="33">
        <f>COUNTIFS('الوحدات'!B:B, B11, 'الوحدات'!M:M, "متاحة")</f>
        <v>5</v>
      </c>
      <c r="U11" s="33">
        <f>COUNTIFS('الوحدات'!B:B, B11, 'الوحدات'!M:M, "تحت الإنشاء")</f>
        <v>0</v>
      </c>
      <c r="V11" s="33">
        <f>COUNTIFS('الوحدات'!B:B, B11, 'الوحدات'!M:M, "محجوزة")</f>
        <v>0</v>
      </c>
      <c r="W11" s="33">
        <f>COUNTIFS('الوحدات'!B:B, B11, 'الوحدات'!M:M, "مباعة")</f>
        <v>1</v>
      </c>
      <c r="X11" s="34">
        <f>IFERROR(AVERAGEIFS('الوحدات'!L:L, 'الوحدات'!B:B, B11), "")</f>
        <v>1507000</v>
      </c>
      <c r="Y11" s="35">
        <f>IFERROR(AVERAGEIFS('الوحدات'!L:L, 'الوحدات'!B:B, B11, 'الوحدات'!M:M, "متاحة"), "")</f>
        <v>1507000</v>
      </c>
      <c r="Z11" s="34">
        <f>IFERROR(SUMIFS('الوحدات'!L:L, 'الوحدات'!B:B, B11), "")</f>
        <v>7535000</v>
      </c>
      <c r="AA11" s="36">
        <f t="shared" si="5"/>
        <v>0</v>
      </c>
      <c r="AB11" s="34">
        <f>IFERROR(SUMIFS('الوحدات'!L:L, 'الوحدات'!B:B, B11, 'الوحدات'!M:M, "تحت الإنشاء"), "")</f>
        <v>0</v>
      </c>
      <c r="AC11" s="34">
        <f>IFERROR(SUMIFS('الوحدات'!L:L, 'الوحدات'!B:B, B11, 'الوحدات'!M:M, "متاحة"), "")</f>
        <v>7535000</v>
      </c>
      <c r="AD11" s="34">
        <f>IFERROR(SUMIFS('الوحدات'!L:L, 'الوحدات'!B:B, B11, 'الوحدات'!M:M, "محجوزة"), "")</f>
        <v>0</v>
      </c>
      <c r="AE11" s="34">
        <f>IFERROR(SUMIFS('الوحدات'!L:L, 'الوحدات'!B:B, B11, 'الوحدات'!M:M, "مباعة"), "")</f>
        <v>0</v>
      </c>
      <c r="AF11" s="34">
        <f>IFERROR(MINIFS('الوحدات'!L:L, 'الوحدات'!B:B, B11), "")</f>
        <v>1245000</v>
      </c>
      <c r="AG11" s="34">
        <f>IFERROR(MINIFS('الوحدات'!L:L, 'الوحدات'!B:B, B11, 'الوحدات'!M:M, "متاحة"), "")</f>
        <v>1245000</v>
      </c>
      <c r="AH11" s="34">
        <f>IFERROR(MAXIFS('الوحدات'!L:L, 'الوحدات'!B:B, B11), "")</f>
        <v>1855000</v>
      </c>
      <c r="AI11" s="34">
        <f>IFERROR(MAXIFS('الوحدات'!L:L, 'الوحدات'!B:B, B11, 'الوحدات'!M:M, "متاحة"), "")</f>
        <v>1855000</v>
      </c>
      <c r="AJ11" s="32" t="str">
        <f t="shared" ref="AJ11:AK11" si="38">AH11&amp;"-"&amp;AF11</f>
        <v>1855000-1245000</v>
      </c>
      <c r="AK11" s="37" t="str">
        <f t="shared" si="38"/>
        <v>1855000-1245000</v>
      </c>
      <c r="AL11" s="33">
        <f>IFERROR(MINIFS('الوحدات'!K:K, 'الوحدات'!B:B, B11), "")</f>
        <v>188</v>
      </c>
      <c r="AM11" s="33">
        <f>IFERROR(MINIFS('الوحدات'!K:K, 'الوحدات'!B:B, B11, 'الوحدات'!M:M, "متاحة"), "")</f>
        <v>188</v>
      </c>
      <c r="AN11" s="33">
        <f>IFERROR(MAXIFS('الوحدات'!K:K, 'الوحدات'!B:B, B11), "")</f>
        <v>243</v>
      </c>
      <c r="AO11" s="33">
        <f>IFERROR(MAXIFS('الوحدات'!K:K, 'الوحدات'!B:B, B11, 'الوحدات'!M:M, "متاحة"), "")</f>
        <v>243</v>
      </c>
      <c r="AP11" s="32" t="str">
        <f t="shared" ref="AP11:AQ11" si="39">AN11&amp;"-"&amp;AL11</f>
        <v>243-188</v>
      </c>
      <c r="AQ11" s="32" t="str">
        <f t="shared" si="39"/>
        <v>243-188</v>
      </c>
      <c r="AR11" s="33">
        <f>IFERROR(MINIFS('الوحدات'!N:N, 'الوحدات'!B:B, B11), "")</f>
        <v>3</v>
      </c>
      <c r="AS11" s="33">
        <f>IFERROR(MINIFS('الوحدات'!N:N, 'الوحدات'!B:B, B11, 'الوحدات'!M:M, "متاحة"), "")</f>
        <v>3</v>
      </c>
      <c r="AT11" s="33">
        <f>IFERROR(MAXIFS('الوحدات'!N:N, 'الوحدات'!B:B, B11), "")</f>
        <v>3</v>
      </c>
      <c r="AU11" s="33">
        <f>IFERROR(MAXIFS('الوحدات'!N:N, 'الوحدات'!B:B, B11, 'الوحدات'!M:M, "متاحة"), "")</f>
        <v>3</v>
      </c>
      <c r="AV11" s="14" t="str">
        <f t="shared" ref="AV11:AW11" si="40">AT11&amp;"-"&amp;AR11</f>
        <v>3-3</v>
      </c>
      <c r="AW11" s="14" t="str">
        <f t="shared" si="40"/>
        <v>3-3</v>
      </c>
      <c r="AX11" s="33">
        <f>IFERROR(MINIFS('الوحدات'!O:O, 'الوحدات'!B:B, B11), "")</f>
        <v>0</v>
      </c>
      <c r="AY11" s="38">
        <f>IFERROR(MINIFS('الوحدات'!O:O, 'الوحدات'!B:B, B11, 'الوحدات'!M:M, "متاحة"), "")</f>
        <v>0</v>
      </c>
      <c r="AZ11" s="38">
        <f>IFERROR(MAXIFS('الوحدات'!O:O, 'الوحدات'!B:B, B11), "")</f>
        <v>0</v>
      </c>
      <c r="BA11" s="33">
        <f>IFERROR(MAXIFS('الوحدات'!O:O, 'الوحدات'!B:B, B11, 'الوحدات'!M:M, "متاحة"), "")</f>
        <v>0</v>
      </c>
      <c r="BB11" s="14" t="str">
        <f t="shared" ref="BB11:BC11" si="41">AZ11&amp;"-"&amp;AX11</f>
        <v>0-0</v>
      </c>
      <c r="BC11" s="14" t="str">
        <f t="shared" si="41"/>
        <v>0-0</v>
      </c>
    </row>
    <row r="12">
      <c r="A12" s="25">
        <v>11.0</v>
      </c>
      <c r="B12" s="56" t="s">
        <v>140</v>
      </c>
      <c r="C12" s="61" t="s">
        <v>141</v>
      </c>
      <c r="D12" s="57"/>
      <c r="E12" s="57" t="s">
        <v>142</v>
      </c>
      <c r="F12" s="26" t="str">
        <f>IF(COUNTIFS('الوحدات'!B:B,B12,'الوحدات'!M:M,"متاحة")&gt;0,"متاح",
IF(COUNTIFS('الوحدات'!B:B,B12,'الوحدات'!M:M,"&lt;&gt;")=0,
"",
IF(COUNTIFS('الوحدات'!B:B,B12,'الوحدات'!M:M,"تحت الإنشاء")=COUNTIFS('الوحدات'!B:B,B12,'الوحدات'!M:M,"&lt;&gt;"),
"تحت الإنشاء",
IF(COUNTIFS('الوحدات'!B:B,B12,'الوحدات'!M:M,"تحت الإنشاء")&gt;0,
"تحت الإنشاء جزئيا",
"مباعة"
))))
</f>
        <v>متاح</v>
      </c>
      <c r="G12" s="26" t="str">
        <f>IFERROR(__xludf.DUMMYFUNCTION("IF(SUMPRODUCT(('الوحدات'!B:B=B12)*REGEXMATCH(TRIM('الوحدات'!J:J),""^(تاون هاوس|دور|شقة|فيلا)$""))&gt;0,""سكني"","""")"),"سكني")</f>
        <v>سكني</v>
      </c>
      <c r="H12" s="26" t="str">
        <f>IFERROR(__xludf.DUMMYFUNCTION("TEXTJOIN(""-"", TRUE, UNIQUE(FILTER('الوحدات'!J:J, 'الوحدات'!B:B = B12)))
"),"فيلا")</f>
        <v>فيلا</v>
      </c>
      <c r="I12" s="27"/>
      <c r="J12" s="58" t="s">
        <v>143</v>
      </c>
      <c r="K12" s="59" t="s">
        <v>98</v>
      </c>
      <c r="L12" s="60" t="s">
        <v>86</v>
      </c>
      <c r="M12" s="60" t="s">
        <v>87</v>
      </c>
      <c r="N12" s="61" t="s">
        <v>144</v>
      </c>
      <c r="O12" s="57"/>
      <c r="P12" s="57"/>
      <c r="Q12" s="57"/>
      <c r="R12" s="62" t="s">
        <v>145</v>
      </c>
      <c r="S12" s="32">
        <f>COUNTIF('الوحدات'!B:B, B12)</f>
        <v>11</v>
      </c>
      <c r="T12" s="33">
        <f>COUNTIFS('الوحدات'!B:B, B12, 'الوحدات'!M:M, "متاحة")</f>
        <v>11</v>
      </c>
      <c r="U12" s="33">
        <f>COUNTIFS('الوحدات'!B:B, B12, 'الوحدات'!M:M, "تحت الإنشاء")</f>
        <v>0</v>
      </c>
      <c r="V12" s="33">
        <f>COUNTIFS('الوحدات'!B:B, B12, 'الوحدات'!M:M, "محجوزة")</f>
        <v>0</v>
      </c>
      <c r="W12" s="33">
        <f>COUNTIFS('الوحدات'!B:B, B12, 'الوحدات'!M:M, "مباعة")</f>
        <v>0</v>
      </c>
      <c r="X12" s="34">
        <f>IFERROR(AVERAGEIFS('الوحدات'!L:L, 'الوحدات'!B:B, B12), "")</f>
        <v>2150000</v>
      </c>
      <c r="Y12" s="35">
        <f>IFERROR(AVERAGEIFS('الوحدات'!L:L, 'الوحدات'!B:B, B12, 'الوحدات'!M:M, "متاحة"), "")</f>
        <v>2150000</v>
      </c>
      <c r="Z12" s="34">
        <f>IFERROR(SUMIFS('الوحدات'!L:L, 'الوحدات'!B:B, B12), "")</f>
        <v>23650000</v>
      </c>
      <c r="AA12" s="36">
        <f t="shared" si="5"/>
        <v>0</v>
      </c>
      <c r="AB12" s="34">
        <f>IFERROR(SUMIFS('الوحدات'!L:L, 'الوحدات'!B:B, B12, 'الوحدات'!M:M, "تحت الإنشاء"), "")</f>
        <v>0</v>
      </c>
      <c r="AC12" s="34">
        <f>IFERROR(SUMIFS('الوحدات'!L:L, 'الوحدات'!B:B, B12, 'الوحدات'!M:M, "متاحة"), "")</f>
        <v>23650000</v>
      </c>
      <c r="AD12" s="34">
        <f>IFERROR(SUMIFS('الوحدات'!L:L, 'الوحدات'!B:B, B12, 'الوحدات'!M:M, "محجوزة"), "")</f>
        <v>0</v>
      </c>
      <c r="AE12" s="34">
        <f>IFERROR(SUMIFS('الوحدات'!L:L, 'الوحدات'!B:B, B12, 'الوحدات'!M:M, "مباعة"), "")</f>
        <v>0</v>
      </c>
      <c r="AF12" s="34">
        <f>IFERROR(MINIFS('الوحدات'!L:L, 'الوحدات'!B:B, B12), "")</f>
        <v>2150000</v>
      </c>
      <c r="AG12" s="34">
        <f>IFERROR(MINIFS('الوحدات'!L:L, 'الوحدات'!B:B, B12, 'الوحدات'!M:M, "متاحة"), "")</f>
        <v>2150000</v>
      </c>
      <c r="AH12" s="34">
        <f>IFERROR(MAXIFS('الوحدات'!L:L, 'الوحدات'!B:B, B12), "")</f>
        <v>2150000</v>
      </c>
      <c r="AI12" s="34">
        <f>IFERROR(MAXIFS('الوحدات'!L:L, 'الوحدات'!B:B, B12, 'الوحدات'!M:M, "متاحة"), "")</f>
        <v>2150000</v>
      </c>
      <c r="AJ12" s="32" t="str">
        <f t="shared" ref="AJ12:AK12" si="42">AH12&amp;"-"&amp;AF12</f>
        <v>2150000-2150000</v>
      </c>
      <c r="AK12" s="37" t="str">
        <f t="shared" si="42"/>
        <v>2150000-2150000</v>
      </c>
      <c r="AL12" s="33">
        <f>IFERROR(MINIFS('الوحدات'!K:K, 'الوحدات'!B:B, B12), "")</f>
        <v>200</v>
      </c>
      <c r="AM12" s="33">
        <f>IFERROR(MINIFS('الوحدات'!K:K, 'الوحدات'!B:B, B12, 'الوحدات'!M:M, "متاحة"), "")</f>
        <v>200</v>
      </c>
      <c r="AN12" s="33">
        <f>IFERROR(MAXIFS('الوحدات'!K:K, 'الوحدات'!B:B, B12), "")</f>
        <v>200</v>
      </c>
      <c r="AO12" s="33">
        <f>IFERROR(MAXIFS('الوحدات'!K:K, 'الوحدات'!B:B, B12, 'الوحدات'!M:M, "متاحة"), "")</f>
        <v>200</v>
      </c>
      <c r="AP12" s="32" t="str">
        <f t="shared" ref="AP12:AQ12" si="43">AN12&amp;"-"&amp;AL12</f>
        <v>200-200</v>
      </c>
      <c r="AQ12" s="32" t="str">
        <f t="shared" si="43"/>
        <v>200-200</v>
      </c>
      <c r="AR12" s="33">
        <f>IFERROR(MINIFS('الوحدات'!N:N, 'الوحدات'!B:B, B12), "")</f>
        <v>5</v>
      </c>
      <c r="AS12" s="33">
        <f>IFERROR(MINIFS('الوحدات'!N:N, 'الوحدات'!B:B, B12, 'الوحدات'!M:M, "متاحة"), "")</f>
        <v>5</v>
      </c>
      <c r="AT12" s="33">
        <f>IFERROR(MAXIFS('الوحدات'!N:N, 'الوحدات'!B:B, B12), "")</f>
        <v>5</v>
      </c>
      <c r="AU12" s="33">
        <f>IFERROR(MAXIFS('الوحدات'!N:N, 'الوحدات'!B:B, B12, 'الوحدات'!M:M, "متاحة"), "")</f>
        <v>5</v>
      </c>
      <c r="AV12" s="14" t="str">
        <f t="shared" ref="AV12:AW12" si="44">AT12&amp;"-"&amp;AR12</f>
        <v>5-5</v>
      </c>
      <c r="AW12" s="14" t="str">
        <f t="shared" si="44"/>
        <v>5-5</v>
      </c>
      <c r="AX12" s="33">
        <f>IFERROR(MINIFS('الوحدات'!O:O, 'الوحدات'!B:B, B12), "")</f>
        <v>6</v>
      </c>
      <c r="AY12" s="38">
        <f>IFERROR(MINIFS('الوحدات'!O:O, 'الوحدات'!B:B, B12, 'الوحدات'!M:M, "متاحة"), "")</f>
        <v>6</v>
      </c>
      <c r="AZ12" s="38">
        <f>IFERROR(MAXIFS('الوحدات'!O:O, 'الوحدات'!B:B, B12), "")</f>
        <v>6</v>
      </c>
      <c r="BA12" s="33">
        <f>IFERROR(MAXIFS('الوحدات'!O:O, 'الوحدات'!B:B, B12, 'الوحدات'!M:M, "متاحة"), "")</f>
        <v>6</v>
      </c>
      <c r="BB12" s="14" t="str">
        <f t="shared" ref="BB12:BC12" si="45">AZ12&amp;"-"&amp;AX12</f>
        <v>6-6</v>
      </c>
      <c r="BC12" s="14" t="str">
        <f t="shared" si="45"/>
        <v>6-6</v>
      </c>
    </row>
    <row r="13">
      <c r="A13" s="45">
        <v>12.0</v>
      </c>
      <c r="B13" s="56" t="s">
        <v>146</v>
      </c>
      <c r="C13" s="61" t="s">
        <v>147</v>
      </c>
      <c r="D13" s="57"/>
      <c r="E13" s="57" t="s">
        <v>147</v>
      </c>
      <c r="F13" s="26" t="str">
        <f>IF(COUNTIFS('الوحدات'!B:B,B13,'الوحدات'!M:M,"متاحة")&gt;0,"متاح",
IF(COUNTIFS('الوحدات'!B:B,B13,'الوحدات'!M:M,"&lt;&gt;")=0,
"",
IF(COUNTIFS('الوحدات'!B:B,B13,'الوحدات'!M:M,"تحت الإنشاء")=COUNTIFS('الوحدات'!B:B,B13,'الوحدات'!M:M,"&lt;&gt;"),
"تحت الإنشاء",
IF(COUNTIFS('الوحدات'!B:B,B13,'الوحدات'!M:M,"تحت الإنشاء")&gt;0,
"تحت الإنشاء جزئيا",
"مباعة"
))))
</f>
        <v>متاح</v>
      </c>
      <c r="G13" s="26" t="str">
        <f>IFERROR(__xludf.DUMMYFUNCTION("IF(SUMPRODUCT(('الوحدات'!B:B=B13)*REGEXMATCH(TRIM('الوحدات'!J:J),""^(تاون هاوس|دور|شقة|فيلا)$""))&gt;0,""سكني"","""")"),"سكني")</f>
        <v>سكني</v>
      </c>
      <c r="H13" s="26" t="str">
        <f>IFERROR(__xludf.DUMMYFUNCTION("TEXTJOIN(""-"", TRUE, UNIQUE(FILTER('الوحدات'!J:J, 'الوحدات'!B:B = B13)))
"),"فيلا")</f>
        <v>فيلا</v>
      </c>
      <c r="I13" s="27"/>
      <c r="J13" s="57"/>
      <c r="K13" s="63" t="s">
        <v>98</v>
      </c>
      <c r="L13" s="60" t="s">
        <v>86</v>
      </c>
      <c r="M13" s="60" t="s">
        <v>87</v>
      </c>
      <c r="N13" s="61" t="s">
        <v>144</v>
      </c>
      <c r="O13" s="57"/>
      <c r="P13" s="57"/>
      <c r="Q13" s="57"/>
      <c r="R13" s="57"/>
      <c r="S13" s="32">
        <f>COUNTIF('الوحدات'!B:B, B13)</f>
        <v>2</v>
      </c>
      <c r="T13" s="33">
        <f>COUNTIFS('الوحدات'!B:B, B13, 'الوحدات'!M:M, "متاحة")</f>
        <v>2</v>
      </c>
      <c r="U13" s="33">
        <f>COUNTIFS('الوحدات'!B:B, B13, 'الوحدات'!M:M, "تحت الإنشاء")</f>
        <v>0</v>
      </c>
      <c r="V13" s="33">
        <f>COUNTIFS('الوحدات'!B:B, B13, 'الوحدات'!M:M, "محجوزة")</f>
        <v>0</v>
      </c>
      <c r="W13" s="33">
        <f>COUNTIFS('الوحدات'!B:B, B13, 'الوحدات'!M:M, "مباعة")</f>
        <v>0</v>
      </c>
      <c r="X13" s="34">
        <f>IFERROR(AVERAGEIFS('الوحدات'!L:L, 'الوحدات'!B:B, B13), "")</f>
        <v>2390000</v>
      </c>
      <c r="Y13" s="35">
        <f>IFERROR(AVERAGEIFS('الوحدات'!L:L, 'الوحدات'!B:B, B13, 'الوحدات'!M:M, "متاحة"), "")</f>
        <v>2390000</v>
      </c>
      <c r="Z13" s="34">
        <f>IFERROR(SUMIFS('الوحدات'!L:L, 'الوحدات'!B:B, B13), "")</f>
        <v>4780000</v>
      </c>
      <c r="AA13" s="36">
        <f t="shared" si="5"/>
        <v>0</v>
      </c>
      <c r="AB13" s="34">
        <f>IFERROR(SUMIFS('الوحدات'!L:L, 'الوحدات'!B:B, B13, 'الوحدات'!M:M, "تحت الإنشاء"), "")</f>
        <v>0</v>
      </c>
      <c r="AC13" s="34">
        <f>IFERROR(SUMIFS('الوحدات'!L:L, 'الوحدات'!B:B, B13, 'الوحدات'!M:M, "متاحة"), "")</f>
        <v>4780000</v>
      </c>
      <c r="AD13" s="34">
        <f>IFERROR(SUMIFS('الوحدات'!L:L, 'الوحدات'!B:B, B13, 'الوحدات'!M:M, "محجوزة"), "")</f>
        <v>0</v>
      </c>
      <c r="AE13" s="34">
        <f>IFERROR(SUMIFS('الوحدات'!L:L, 'الوحدات'!B:B, B13, 'الوحدات'!M:M, "مباعة"), "")</f>
        <v>0</v>
      </c>
      <c r="AF13" s="34">
        <f>IFERROR(MINIFS('الوحدات'!L:L, 'الوحدات'!B:B, B13), "")</f>
        <v>2390000</v>
      </c>
      <c r="AG13" s="34">
        <f>IFERROR(MINIFS('الوحدات'!L:L, 'الوحدات'!B:B, B13, 'الوحدات'!M:M, "متاحة"), "")</f>
        <v>2390000</v>
      </c>
      <c r="AH13" s="34">
        <f>IFERROR(MAXIFS('الوحدات'!L:L, 'الوحدات'!B:B, B13), "")</f>
        <v>2390000</v>
      </c>
      <c r="AI13" s="34">
        <f>IFERROR(MAXIFS('الوحدات'!L:L, 'الوحدات'!B:B, B13, 'الوحدات'!M:M, "متاحة"), "")</f>
        <v>2390000</v>
      </c>
      <c r="AJ13" s="32" t="str">
        <f t="shared" ref="AJ13:AK13" si="46">AH13&amp;"-"&amp;AF13</f>
        <v>2390000-2390000</v>
      </c>
      <c r="AK13" s="37" t="str">
        <f t="shared" si="46"/>
        <v>2390000-2390000</v>
      </c>
      <c r="AL13" s="33">
        <f>IFERROR(MINIFS('الوحدات'!K:K, 'الوحدات'!B:B, B13), "")</f>
        <v>200</v>
      </c>
      <c r="AM13" s="33">
        <f>IFERROR(MINIFS('الوحدات'!K:K, 'الوحدات'!B:B, B13, 'الوحدات'!M:M, "متاحة"), "")</f>
        <v>200</v>
      </c>
      <c r="AN13" s="33">
        <f>IFERROR(MAXIFS('الوحدات'!K:K, 'الوحدات'!B:B, B13), "")</f>
        <v>200</v>
      </c>
      <c r="AO13" s="33">
        <f>IFERROR(MAXIFS('الوحدات'!K:K, 'الوحدات'!B:B, B13, 'الوحدات'!M:M, "متاحة"), "")</f>
        <v>200</v>
      </c>
      <c r="AP13" s="32" t="str">
        <f t="shared" ref="AP13:AQ13" si="47">AN13&amp;"-"&amp;AL13</f>
        <v>200-200</v>
      </c>
      <c r="AQ13" s="32" t="str">
        <f t="shared" si="47"/>
        <v>200-200</v>
      </c>
      <c r="AR13" s="33">
        <f>IFERROR(MINIFS('الوحدات'!N:N, 'الوحدات'!B:B, B13), "")</f>
        <v>0</v>
      </c>
      <c r="AS13" s="33">
        <f>IFERROR(MINIFS('الوحدات'!N:N, 'الوحدات'!B:B, B13, 'الوحدات'!M:M, "متاحة"), "")</f>
        <v>0</v>
      </c>
      <c r="AT13" s="33">
        <f>IFERROR(MAXIFS('الوحدات'!N:N, 'الوحدات'!B:B, B13), "")</f>
        <v>0</v>
      </c>
      <c r="AU13" s="33">
        <f>IFERROR(MAXIFS('الوحدات'!N:N, 'الوحدات'!B:B, B13, 'الوحدات'!M:M, "متاحة"), "")</f>
        <v>0</v>
      </c>
      <c r="AV13" s="14" t="str">
        <f t="shared" ref="AV13:AW13" si="48">AT13&amp;"-"&amp;AR13</f>
        <v>0-0</v>
      </c>
      <c r="AW13" s="14" t="str">
        <f t="shared" si="48"/>
        <v>0-0</v>
      </c>
      <c r="AX13" s="33">
        <f>IFERROR(MINIFS('الوحدات'!O:O, 'الوحدات'!B:B, B13), "")</f>
        <v>0</v>
      </c>
      <c r="AY13" s="38">
        <f>IFERROR(MINIFS('الوحدات'!O:O, 'الوحدات'!B:B, B13, 'الوحدات'!M:M, "متاحة"), "")</f>
        <v>0</v>
      </c>
      <c r="AZ13" s="38">
        <f>IFERROR(MAXIFS('الوحدات'!O:O, 'الوحدات'!B:B, B13), "")</f>
        <v>0</v>
      </c>
      <c r="BA13" s="33">
        <f>IFERROR(MAXIFS('الوحدات'!O:O, 'الوحدات'!B:B, B13, 'الوحدات'!M:M, "متاحة"), "")</f>
        <v>0</v>
      </c>
      <c r="BB13" s="14" t="str">
        <f t="shared" ref="BB13:BC13" si="49">AZ13&amp;"-"&amp;AX13</f>
        <v>0-0</v>
      </c>
      <c r="BC13" s="14" t="str">
        <f t="shared" si="49"/>
        <v>0-0</v>
      </c>
    </row>
    <row r="14">
      <c r="A14" s="25">
        <v>13.0</v>
      </c>
      <c r="B14" s="56" t="s">
        <v>148</v>
      </c>
      <c r="C14" s="64" t="s">
        <v>112</v>
      </c>
      <c r="D14" s="65">
        <v>80.0</v>
      </c>
      <c r="E14" s="64" t="s">
        <v>149</v>
      </c>
      <c r="F14" s="26" t="str">
        <f>IF(COUNTIFS('الوحدات'!B:B,B14,'الوحدات'!M:M,"متاحة")&gt;0,"متاح",
IF(COUNTIFS('الوحدات'!B:B,B14,'الوحدات'!M:M,"&lt;&gt;")=0,
"",
IF(COUNTIFS('الوحدات'!B:B,B14,'الوحدات'!M:M,"تحت الإنشاء")=COUNTIFS('الوحدات'!B:B,B14,'الوحدات'!M:M,"&lt;&gt;"),
"تحت الإنشاء",
IF(COUNTIFS('الوحدات'!B:B,B14,'الوحدات'!M:M,"تحت الإنشاء")&gt;0,
"تحت الإنشاء جزئيا",
"مباعة"
))))
</f>
        <v>متاح</v>
      </c>
      <c r="G14" s="26" t="str">
        <f>IFERROR(__xludf.DUMMYFUNCTION("IF(SUMPRODUCT(('الوحدات'!B:B=B14)*REGEXMATCH(TRIM('الوحدات'!J:J),""^(تاون هاوس|دور|شقة|فيلا)$""))&gt;0,""سكني"","""")"),"سكني")</f>
        <v>سكني</v>
      </c>
      <c r="H14" s="26" t="str">
        <f>IFERROR(__xludf.DUMMYFUNCTION("TEXTJOIN(""-"", TRUE, UNIQUE(FILTER('الوحدات'!J:J, 'الوحدات'!B:B = B14)))
"),"تاون هاوس")</f>
        <v>تاون هاوس</v>
      </c>
      <c r="I14" s="27"/>
      <c r="J14" s="66" t="s">
        <v>150</v>
      </c>
      <c r="K14" s="67" t="s">
        <v>85</v>
      </c>
      <c r="L14" s="60" t="s">
        <v>86</v>
      </c>
      <c r="M14" s="60" t="s">
        <v>87</v>
      </c>
      <c r="N14" s="68" t="s">
        <v>151</v>
      </c>
      <c r="O14" s="69"/>
      <c r="P14" s="69"/>
      <c r="Q14" s="69"/>
      <c r="R14" s="16" t="s">
        <v>152</v>
      </c>
      <c r="S14" s="32">
        <f>COUNTIF('الوحدات'!B:B, B14)</f>
        <v>24</v>
      </c>
      <c r="T14" s="33">
        <f>COUNTIFS('الوحدات'!B:B, B14, 'الوحدات'!M:M, "متاحة")</f>
        <v>24</v>
      </c>
      <c r="U14" s="33">
        <f>COUNTIFS('الوحدات'!B:B, B14, 'الوحدات'!M:M, "تحت الإنشاء")</f>
        <v>0</v>
      </c>
      <c r="V14" s="33">
        <f>COUNTIFS('الوحدات'!B:B, B14, 'الوحدات'!M:M, "محجوزة")</f>
        <v>0</v>
      </c>
      <c r="W14" s="33">
        <f>COUNTIFS('الوحدات'!B:B, B14, 'الوحدات'!M:M, "مباعة")</f>
        <v>0</v>
      </c>
      <c r="X14" s="34">
        <f>IFERROR(AVERAGEIFS('الوحدات'!L:L, 'الوحدات'!B:B, B14), "")</f>
        <v>2206250</v>
      </c>
      <c r="Y14" s="35">
        <f>IFERROR(AVERAGEIFS('الوحدات'!L:L, 'الوحدات'!B:B, B14, 'الوحدات'!M:M, "متاحة"), "")</f>
        <v>2206250</v>
      </c>
      <c r="Z14" s="34">
        <f>IFERROR(SUMIFS('الوحدات'!L:L, 'الوحدات'!B:B, B14), "")</f>
        <v>52950000</v>
      </c>
      <c r="AA14" s="36">
        <f t="shared" si="5"/>
        <v>0</v>
      </c>
      <c r="AB14" s="34">
        <f>IFERROR(SUMIFS('الوحدات'!L:L, 'الوحدات'!B:B, B14, 'الوحدات'!M:M, "تحت الإنشاء"), "")</f>
        <v>0</v>
      </c>
      <c r="AC14" s="34">
        <f>IFERROR(SUMIFS('الوحدات'!L:L, 'الوحدات'!B:B, B14, 'الوحدات'!M:M, "متاحة"), "")</f>
        <v>52950000</v>
      </c>
      <c r="AD14" s="34">
        <f>IFERROR(SUMIFS('الوحدات'!L:L, 'الوحدات'!B:B, B14, 'الوحدات'!M:M, "محجوزة"), "")</f>
        <v>0</v>
      </c>
      <c r="AE14" s="34">
        <f>IFERROR(SUMIFS('الوحدات'!L:L, 'الوحدات'!B:B, B14, 'الوحدات'!M:M, "مباعة"), "")</f>
        <v>0</v>
      </c>
      <c r="AF14" s="34">
        <f>IFERROR(MINIFS('الوحدات'!L:L, 'الوحدات'!B:B, B14), "")</f>
        <v>2175000</v>
      </c>
      <c r="AG14" s="34">
        <f>IFERROR(MINIFS('الوحدات'!L:L, 'الوحدات'!B:B, B14, 'الوحدات'!M:M, "متاحة"), "")</f>
        <v>2175000</v>
      </c>
      <c r="AH14" s="34">
        <f>IFERROR(MAXIFS('الوحدات'!L:L, 'الوحدات'!B:B, B14), "")</f>
        <v>2425000</v>
      </c>
      <c r="AI14" s="34">
        <f>IFERROR(MAXIFS('الوحدات'!L:L, 'الوحدات'!B:B, B14, 'الوحدات'!M:M, "متاحة"), "")</f>
        <v>2425000</v>
      </c>
      <c r="AJ14" s="32" t="str">
        <f t="shared" ref="AJ14:AK14" si="50">AH14&amp;"-"&amp;AF14</f>
        <v>2425000-2175000</v>
      </c>
      <c r="AK14" s="37" t="str">
        <f t="shared" si="50"/>
        <v>2425000-2175000</v>
      </c>
      <c r="AL14" s="33">
        <f>IFERROR(MINIFS('الوحدات'!K:K, 'الوحدات'!B:B, B14), "")</f>
        <v>384</v>
      </c>
      <c r="AM14" s="33">
        <f>IFERROR(MINIFS('الوحدات'!K:K, 'الوحدات'!B:B, B14, 'الوحدات'!M:M, "متاحة"), "")</f>
        <v>384</v>
      </c>
      <c r="AN14" s="33">
        <f>IFERROR(MAXIFS('الوحدات'!K:K, 'الوحدات'!B:B, B14), "")</f>
        <v>517</v>
      </c>
      <c r="AO14" s="33">
        <f>IFERROR(MAXIFS('الوحدات'!K:K, 'الوحدات'!B:B, B14, 'الوحدات'!M:M, "متاحة"), "")</f>
        <v>517</v>
      </c>
      <c r="AP14" s="32" t="str">
        <f t="shared" ref="AP14:AQ14" si="51">AN14&amp;"-"&amp;AL14</f>
        <v>517-384</v>
      </c>
      <c r="AQ14" s="32" t="str">
        <f t="shared" si="51"/>
        <v>517-384</v>
      </c>
      <c r="AR14" s="33">
        <f>IFERROR(MINIFS('الوحدات'!N:N, 'الوحدات'!B:B, B14), "")</f>
        <v>3</v>
      </c>
      <c r="AS14" s="33">
        <f>IFERROR(MINIFS('الوحدات'!N:N, 'الوحدات'!B:B, B14, 'الوحدات'!M:M, "متاحة"), "")</f>
        <v>3</v>
      </c>
      <c r="AT14" s="33">
        <f>IFERROR(MAXIFS('الوحدات'!N:N, 'الوحدات'!B:B, B14), "")</f>
        <v>3</v>
      </c>
      <c r="AU14" s="33">
        <f>IFERROR(MAXIFS('الوحدات'!N:N, 'الوحدات'!B:B, B14, 'الوحدات'!M:M, "متاحة"), "")</f>
        <v>3</v>
      </c>
      <c r="AV14" s="14" t="str">
        <f t="shared" ref="AV14:AW14" si="52">AT14&amp;"-"&amp;AR14</f>
        <v>3-3</v>
      </c>
      <c r="AW14" s="14" t="str">
        <f t="shared" si="52"/>
        <v>3-3</v>
      </c>
      <c r="AX14" s="33">
        <f>IFERROR(MINIFS('الوحدات'!O:O, 'الوحدات'!B:B, B14), "")</f>
        <v>5</v>
      </c>
      <c r="AY14" s="38">
        <f>IFERROR(MINIFS('الوحدات'!O:O, 'الوحدات'!B:B, B14, 'الوحدات'!M:M, "متاحة"), "")</f>
        <v>5</v>
      </c>
      <c r="AZ14" s="38">
        <f>IFERROR(MAXIFS('الوحدات'!O:O, 'الوحدات'!B:B, B14), "")</f>
        <v>5</v>
      </c>
      <c r="BA14" s="33">
        <f>IFERROR(MAXIFS('الوحدات'!O:O, 'الوحدات'!B:B, B14, 'الوحدات'!M:M, "متاحة"), "")</f>
        <v>5</v>
      </c>
      <c r="BB14" s="14" t="str">
        <f t="shared" ref="BB14:BC14" si="53">AZ14&amp;"-"&amp;AX14</f>
        <v>5-5</v>
      </c>
      <c r="BC14" s="14" t="str">
        <f t="shared" si="53"/>
        <v>5-5</v>
      </c>
    </row>
    <row r="15">
      <c r="A15" s="65">
        <v>14.0</v>
      </c>
      <c r="B15" s="14" t="s">
        <v>153</v>
      </c>
      <c r="C15" s="70" t="s">
        <v>118</v>
      </c>
      <c r="D15" s="14">
        <v>88.0</v>
      </c>
      <c r="E15" s="13" t="str">
        <f t="shared" ref="E15:E33" si="58">"ألين - "&amp;D15</f>
        <v>ألين - 88</v>
      </c>
      <c r="F15" s="26" t="str">
        <f>IF(COUNTIFS('الوحدات'!B:B,B15,'الوحدات'!M:M,"متاحة")&gt;0,"متاح",
IF(COUNTIFS('الوحدات'!B:B,B15,'الوحدات'!M:M,"&lt;&gt;")=0,
"",
IF(COUNTIFS('الوحدات'!B:B,B15,'الوحدات'!M:M,"تحت الإنشاء")=COUNTIFS('الوحدات'!B:B,B15,'الوحدات'!M:M,"&lt;&gt;"),
"تحت الإنشاء",
IF(COUNTIFS('الوحدات'!B:B,B15,'الوحدات'!M:M,"تحت الإنشاء")&gt;0,
"تحت الإنشاء جزئيا",
"مباعة"
))))
</f>
        <v>متاح</v>
      </c>
      <c r="G15" s="26" t="str">
        <f>IFERROR(__xludf.DUMMYFUNCTION("IF(SUMPRODUCT(('الوحدات'!B:B=B15)*REGEXMATCH(TRIM('الوحدات'!J:J),""^(تاون هاوس|دور|شقة|فيلا)$""))&gt;0,""سكني"","""")"),"سكني")</f>
        <v>سكني</v>
      </c>
      <c r="H15" s="26" t="str">
        <f>IFERROR(__xludf.DUMMYFUNCTION("TEXTJOIN(""-"", TRUE, UNIQUE(FILTER('الوحدات'!J:J, 'الوحدات'!B:B = B15)))
"),"شقة")</f>
        <v>شقة</v>
      </c>
      <c r="I15" s="27"/>
      <c r="J15" s="71" t="s">
        <v>154</v>
      </c>
      <c r="K15" s="67" t="s">
        <v>85</v>
      </c>
      <c r="L15" s="60" t="s">
        <v>86</v>
      </c>
      <c r="M15" s="60" t="s">
        <v>87</v>
      </c>
      <c r="N15" s="70" t="s">
        <v>155</v>
      </c>
      <c r="O15" s="71" t="s">
        <v>156</v>
      </c>
      <c r="P15" s="14"/>
      <c r="Q15" s="14"/>
      <c r="R15" s="16"/>
      <c r="S15" s="32">
        <f>COUNTIF('الوحدات'!B:B, B15)</f>
        <v>1</v>
      </c>
      <c r="T15" s="33">
        <f>COUNTIFS('الوحدات'!B:B, B15, 'الوحدات'!M:M, "متاحة")</f>
        <v>1</v>
      </c>
      <c r="U15" s="33">
        <f>COUNTIFS('الوحدات'!B:B, B15, 'الوحدات'!M:M, "تحت الإنشاء")</f>
        <v>0</v>
      </c>
      <c r="V15" s="33">
        <f>COUNTIFS('الوحدات'!B:B, B15, 'الوحدات'!M:M, "محجوزة")</f>
        <v>0</v>
      </c>
      <c r="W15" s="33">
        <f>COUNTIFS('الوحدات'!B:B, B15, 'الوحدات'!M:M, "مباعة")</f>
        <v>0</v>
      </c>
      <c r="X15" s="34">
        <f>IFERROR(AVERAGEIFS('الوحدات'!L:L, 'الوحدات'!B:B, B15), "")</f>
        <v>1499000</v>
      </c>
      <c r="Y15" s="35">
        <f>IFERROR(AVERAGEIFS('الوحدات'!L:L, 'الوحدات'!B:B, B15, 'الوحدات'!M:M, "متاحة"), "")</f>
        <v>1499000</v>
      </c>
      <c r="Z15" s="34">
        <f>IFERROR(SUMIFS('الوحدات'!L:L, 'الوحدات'!B:B, B15), "")</f>
        <v>1499000</v>
      </c>
      <c r="AA15" s="36">
        <f t="shared" si="5"/>
        <v>0</v>
      </c>
      <c r="AB15" s="34">
        <f>IFERROR(SUMIFS('الوحدات'!L:L, 'الوحدات'!B:B, B15, 'الوحدات'!M:M, "تحت الإنشاء"), "")</f>
        <v>0</v>
      </c>
      <c r="AC15" s="34">
        <f>IFERROR(SUMIFS('الوحدات'!L:L, 'الوحدات'!B:B, B15, 'الوحدات'!M:M, "متاحة"), "")</f>
        <v>1499000</v>
      </c>
      <c r="AD15" s="34">
        <f>IFERROR(SUMIFS('الوحدات'!L:L, 'الوحدات'!B:B, B15, 'الوحدات'!M:M, "محجوزة"), "")</f>
        <v>0</v>
      </c>
      <c r="AE15" s="34">
        <f>IFERROR(SUMIFS('الوحدات'!L:L, 'الوحدات'!B:B, B15, 'الوحدات'!M:M, "مباعة"), "")</f>
        <v>0</v>
      </c>
      <c r="AF15" s="34">
        <f>IFERROR(MINIFS('الوحدات'!L:L, 'الوحدات'!B:B, B15), "")</f>
        <v>1499000</v>
      </c>
      <c r="AG15" s="34">
        <f>IFERROR(MINIFS('الوحدات'!L:L, 'الوحدات'!B:B, B15, 'الوحدات'!M:M, "متاحة"), "")</f>
        <v>1499000</v>
      </c>
      <c r="AH15" s="34">
        <f>IFERROR(MAXIFS('الوحدات'!L:L, 'الوحدات'!B:B, B15), "")</f>
        <v>1499000</v>
      </c>
      <c r="AI15" s="34">
        <f>IFERROR(MAXIFS('الوحدات'!L:L, 'الوحدات'!B:B, B15, 'الوحدات'!M:M, "متاحة"), "")</f>
        <v>1499000</v>
      </c>
      <c r="AJ15" s="32" t="str">
        <f t="shared" ref="AJ15:AK15" si="54">AH15&amp;"-"&amp;AF15</f>
        <v>1499000-1499000</v>
      </c>
      <c r="AK15" s="37" t="str">
        <f t="shared" si="54"/>
        <v>1499000-1499000</v>
      </c>
      <c r="AL15" s="33">
        <f>IFERROR(MINIFS('الوحدات'!K:K, 'الوحدات'!B:B, B15), "")</f>
        <v>109</v>
      </c>
      <c r="AM15" s="33">
        <f>IFERROR(MINIFS('الوحدات'!K:K, 'الوحدات'!B:B, B15, 'الوحدات'!M:M, "متاحة"), "")</f>
        <v>109</v>
      </c>
      <c r="AN15" s="33">
        <f>IFERROR(MAXIFS('الوحدات'!K:K, 'الوحدات'!B:B, B15), "")</f>
        <v>109</v>
      </c>
      <c r="AO15" s="33">
        <f>IFERROR(MAXIFS('الوحدات'!K:K, 'الوحدات'!B:B, B15, 'الوحدات'!M:M, "متاحة"), "")</f>
        <v>109</v>
      </c>
      <c r="AP15" s="32" t="str">
        <f t="shared" ref="AP15:AQ15" si="55">AN15&amp;"-"&amp;AL15</f>
        <v>109-109</v>
      </c>
      <c r="AQ15" s="32" t="str">
        <f t="shared" si="55"/>
        <v>109-109</v>
      </c>
      <c r="AR15" s="33">
        <f>IFERROR(MINIFS('الوحدات'!N:N, 'الوحدات'!B:B, B15), "")</f>
        <v>3</v>
      </c>
      <c r="AS15" s="33">
        <f>IFERROR(MINIFS('الوحدات'!N:N, 'الوحدات'!B:B, B15, 'الوحدات'!M:M, "متاحة"), "")</f>
        <v>3</v>
      </c>
      <c r="AT15" s="33">
        <f>IFERROR(MAXIFS('الوحدات'!N:N, 'الوحدات'!B:B, B15), "")</f>
        <v>3</v>
      </c>
      <c r="AU15" s="33">
        <f>IFERROR(MAXIFS('الوحدات'!N:N, 'الوحدات'!B:B, B15, 'الوحدات'!M:M, "متاحة"), "")</f>
        <v>3</v>
      </c>
      <c r="AV15" s="14" t="str">
        <f t="shared" ref="AV15:AW15" si="56">AT15&amp;"-"&amp;AR15</f>
        <v>3-3</v>
      </c>
      <c r="AW15" s="14" t="str">
        <f t="shared" si="56"/>
        <v>3-3</v>
      </c>
      <c r="AX15" s="33">
        <f>IFERROR(MINIFS('الوحدات'!O:O, 'الوحدات'!B:B, B15), "")</f>
        <v>2</v>
      </c>
      <c r="AY15" s="38">
        <f>IFERROR(MINIFS('الوحدات'!O:O, 'الوحدات'!B:B, B15, 'الوحدات'!M:M, "متاحة"), "")</f>
        <v>2</v>
      </c>
      <c r="AZ15" s="38">
        <f>IFERROR(MAXIFS('الوحدات'!O:O, 'الوحدات'!B:B, B15), "")</f>
        <v>2</v>
      </c>
      <c r="BA15" s="33">
        <f>IFERROR(MAXIFS('الوحدات'!O:O, 'الوحدات'!B:B, B15, 'الوحدات'!M:M, "متاحة"), "")</f>
        <v>2</v>
      </c>
      <c r="BB15" s="14" t="str">
        <f t="shared" ref="BB15:BC15" si="57">AZ15&amp;"-"&amp;AX15</f>
        <v>2-2</v>
      </c>
      <c r="BC15" s="14" t="str">
        <f t="shared" si="57"/>
        <v>2-2</v>
      </c>
    </row>
    <row r="16">
      <c r="A16" s="65">
        <v>15.0</v>
      </c>
      <c r="B16" s="14" t="s">
        <v>157</v>
      </c>
      <c r="C16" s="70" t="s">
        <v>118</v>
      </c>
      <c r="D16" s="14">
        <v>102.0</v>
      </c>
      <c r="E16" s="13" t="str">
        <f t="shared" si="58"/>
        <v>ألين - 102</v>
      </c>
      <c r="F16" s="26" t="str">
        <f>IF(COUNTIFS('الوحدات'!B:B,B16,'الوحدات'!M:M,"متاحة")&gt;0,"متاح",
IF(COUNTIFS('الوحدات'!B:B,B16,'الوحدات'!M:M,"&lt;&gt;")=0,
"",
IF(COUNTIFS('الوحدات'!B:B,B16,'الوحدات'!M:M,"تحت الإنشاء")=COUNTIFS('الوحدات'!B:B,B16,'الوحدات'!M:M,"&lt;&gt;"),
"تحت الإنشاء",
IF(COUNTIFS('الوحدات'!B:B,B16,'الوحدات'!M:M,"تحت الإنشاء")&gt;0,
"تحت الإنشاء جزئيا",
"مباعة"
))))
</f>
        <v>تحت الإنشاء</v>
      </c>
      <c r="G16" s="26" t="str">
        <f>IFERROR(__xludf.DUMMYFUNCTION("IF(SUMPRODUCT(('الوحدات'!B:B=B16)*REGEXMATCH(TRIM('الوحدات'!J:J),""^(تاون هاوس|دور|شقة|فيلا)$""))&gt;0,""سكني"","""")"),"سكني")</f>
        <v>سكني</v>
      </c>
      <c r="H16" s="26" t="str">
        <f>IFERROR(__xludf.DUMMYFUNCTION("TEXTJOIN(""-"", TRUE, UNIQUE(FILTER('الوحدات'!J:J, 'الوحدات'!B:B = B16)))
"),"شقة")</f>
        <v>شقة</v>
      </c>
      <c r="I16" s="27"/>
      <c r="J16" s="71" t="s">
        <v>158</v>
      </c>
      <c r="K16" s="67" t="s">
        <v>85</v>
      </c>
      <c r="L16" s="60" t="s">
        <v>86</v>
      </c>
      <c r="M16" s="60" t="s">
        <v>87</v>
      </c>
      <c r="N16" s="70" t="s">
        <v>159</v>
      </c>
      <c r="O16" s="71" t="s">
        <v>160</v>
      </c>
      <c r="P16" s="14"/>
      <c r="Q16" s="14"/>
      <c r="R16" s="14"/>
      <c r="S16" s="32">
        <f>COUNTIF('الوحدات'!B:B, B16)</f>
        <v>2</v>
      </c>
      <c r="T16" s="33">
        <f>COUNTIFS('الوحدات'!B:B, B16, 'الوحدات'!M:M, "متاحة")</f>
        <v>0</v>
      </c>
      <c r="U16" s="33">
        <f>COUNTIFS('الوحدات'!B:B, B16, 'الوحدات'!M:M, "تحت الإنشاء")</f>
        <v>2</v>
      </c>
      <c r="V16" s="33">
        <f>COUNTIFS('الوحدات'!B:B, B16, 'الوحدات'!M:M, "محجوزة")</f>
        <v>0</v>
      </c>
      <c r="W16" s="33">
        <f>COUNTIFS('الوحدات'!B:B, B16, 'الوحدات'!M:M, "مباعة")</f>
        <v>0</v>
      </c>
      <c r="X16" s="34">
        <f>IFERROR(AVERAGEIFS('الوحدات'!L:L, 'الوحدات'!B:B, B16), "")</f>
        <v>1739000</v>
      </c>
      <c r="Y16" s="35" t="str">
        <f>IFERROR(AVERAGEIFS('الوحدات'!L:L, 'الوحدات'!B:B, B16, 'الوحدات'!M:M, "متاحة"), "")</f>
        <v/>
      </c>
      <c r="Z16" s="34">
        <f>IFERROR(SUMIFS('الوحدات'!L:L, 'الوحدات'!B:B, B16), "")</f>
        <v>3478000</v>
      </c>
      <c r="AA16" s="36">
        <f t="shared" si="5"/>
        <v>0</v>
      </c>
      <c r="AB16" s="34">
        <f>IFERROR(SUMIFS('الوحدات'!L:L, 'الوحدات'!B:B, B16, 'الوحدات'!M:M, "تحت الإنشاء"), "")</f>
        <v>3478000</v>
      </c>
      <c r="AC16" s="34">
        <f>IFERROR(SUMIFS('الوحدات'!L:L, 'الوحدات'!B:B, B16, 'الوحدات'!M:M, "متاحة"), "")</f>
        <v>0</v>
      </c>
      <c r="AD16" s="34">
        <f>IFERROR(SUMIFS('الوحدات'!L:L, 'الوحدات'!B:B, B16, 'الوحدات'!M:M, "محجوزة"), "")</f>
        <v>0</v>
      </c>
      <c r="AE16" s="34">
        <f>IFERROR(SUMIFS('الوحدات'!L:L, 'الوحدات'!B:B, B16, 'الوحدات'!M:M, "مباعة"), "")</f>
        <v>0</v>
      </c>
      <c r="AF16" s="34">
        <f>IFERROR(MINIFS('الوحدات'!L:L, 'الوحدات'!B:B, B16), "")</f>
        <v>1599000</v>
      </c>
      <c r="AG16" s="34">
        <f>IFERROR(MINIFS('الوحدات'!L:L, 'الوحدات'!B:B, B16, 'الوحدات'!M:M, "متاحة"), "")</f>
        <v>0</v>
      </c>
      <c r="AH16" s="34">
        <f>IFERROR(MAXIFS('الوحدات'!L:L, 'الوحدات'!B:B, B16), "")</f>
        <v>1879000</v>
      </c>
      <c r="AI16" s="34">
        <f>IFERROR(MAXIFS('الوحدات'!L:L, 'الوحدات'!B:B, B16, 'الوحدات'!M:M, "متاحة"), "")</f>
        <v>0</v>
      </c>
      <c r="AJ16" s="32" t="str">
        <f t="shared" ref="AJ16:AK16" si="59">AH16&amp;"-"&amp;AF16</f>
        <v>1879000-1599000</v>
      </c>
      <c r="AK16" s="37" t="str">
        <f t="shared" si="59"/>
        <v>0-0</v>
      </c>
      <c r="AL16" s="33">
        <f>IFERROR(MINIFS('الوحدات'!K:K, 'الوحدات'!B:B, B16), "")</f>
        <v>99</v>
      </c>
      <c r="AM16" s="33">
        <f>IFERROR(MINIFS('الوحدات'!K:K, 'الوحدات'!B:B, B16, 'الوحدات'!M:M, "متاحة"), "")</f>
        <v>0</v>
      </c>
      <c r="AN16" s="33">
        <f>IFERROR(MAXIFS('الوحدات'!K:K, 'الوحدات'!B:B, B16), "")</f>
        <v>137</v>
      </c>
      <c r="AO16" s="33">
        <f>IFERROR(MAXIFS('الوحدات'!K:K, 'الوحدات'!B:B, B16, 'الوحدات'!M:M, "متاحة"), "")</f>
        <v>0</v>
      </c>
      <c r="AP16" s="32" t="str">
        <f t="shared" ref="AP16:AQ16" si="60">AN16&amp;"-"&amp;AL16</f>
        <v>137-99</v>
      </c>
      <c r="AQ16" s="32" t="str">
        <f t="shared" si="60"/>
        <v>0-0</v>
      </c>
      <c r="AR16" s="33">
        <f>IFERROR(MINIFS('الوحدات'!N:N, 'الوحدات'!B:B, B16), "")</f>
        <v>2</v>
      </c>
      <c r="AS16" s="33">
        <f>IFERROR(MINIFS('الوحدات'!N:N, 'الوحدات'!B:B, B16, 'الوحدات'!M:M, "متاحة"), "")</f>
        <v>0</v>
      </c>
      <c r="AT16" s="33">
        <f>IFERROR(MAXIFS('الوحدات'!N:N, 'الوحدات'!B:B, B16), "")</f>
        <v>3</v>
      </c>
      <c r="AU16" s="33">
        <f>IFERROR(MAXIFS('الوحدات'!N:N, 'الوحدات'!B:B, B16, 'الوحدات'!M:M, "متاحة"), "")</f>
        <v>0</v>
      </c>
      <c r="AV16" s="14" t="str">
        <f t="shared" ref="AV16:AW16" si="61">AT16&amp;"-"&amp;AR16</f>
        <v>3-2</v>
      </c>
      <c r="AW16" s="14" t="str">
        <f t="shared" si="61"/>
        <v>0-0</v>
      </c>
      <c r="AX16" s="33">
        <f>IFERROR(MINIFS('الوحدات'!O:O, 'الوحدات'!B:B, B16), "")</f>
        <v>3</v>
      </c>
      <c r="AY16" s="38">
        <f>IFERROR(MINIFS('الوحدات'!O:O, 'الوحدات'!B:B, B16, 'الوحدات'!M:M, "متاحة"), "")</f>
        <v>0</v>
      </c>
      <c r="AZ16" s="38">
        <f>IFERROR(MAXIFS('الوحدات'!O:O, 'الوحدات'!B:B, B16), "")</f>
        <v>4</v>
      </c>
      <c r="BA16" s="33">
        <f>IFERROR(MAXIFS('الوحدات'!O:O, 'الوحدات'!B:B, B16, 'الوحدات'!M:M, "متاحة"), "")</f>
        <v>0</v>
      </c>
      <c r="BB16" s="14" t="str">
        <f t="shared" ref="BB16:BC16" si="62">AZ16&amp;"-"&amp;AX16</f>
        <v>4-3</v>
      </c>
      <c r="BC16" s="14" t="str">
        <f t="shared" si="62"/>
        <v>0-0</v>
      </c>
    </row>
    <row r="17">
      <c r="A17" s="65">
        <v>16.0</v>
      </c>
      <c r="B17" s="14" t="s">
        <v>161</v>
      </c>
      <c r="C17" s="70" t="s">
        <v>118</v>
      </c>
      <c r="D17" s="14">
        <v>104.0</v>
      </c>
      <c r="E17" s="13" t="str">
        <f t="shared" si="58"/>
        <v>ألين - 104</v>
      </c>
      <c r="F17" s="26" t="str">
        <f>IF(COUNTIFS('الوحدات'!B:B,B17,'الوحدات'!M:M,"متاحة")&gt;0,"متاح",
IF(COUNTIFS('الوحدات'!B:B,B17,'الوحدات'!M:M,"&lt;&gt;")=0,
"",
IF(COUNTIFS('الوحدات'!B:B,B17,'الوحدات'!M:M,"تحت الإنشاء")=COUNTIFS('الوحدات'!B:B,B17,'الوحدات'!M:M,"&lt;&gt;"),
"تحت الإنشاء",
IF(COUNTIFS('الوحدات'!B:B,B17,'الوحدات'!M:M,"تحت الإنشاء")&gt;0,
"تحت الإنشاء جزئيا",
"مباعة"
))))
</f>
        <v>تحت الإنشاء جزئيا</v>
      </c>
      <c r="G17" s="26" t="str">
        <f>IFERROR(__xludf.DUMMYFUNCTION("IF(SUMPRODUCT(('الوحدات'!B:B=B17)*REGEXMATCH(TRIM('الوحدات'!J:J),""^(تاون هاوس|دور|شقة|فيلا)$""))&gt;0,""سكني"","""")"),"سكني")</f>
        <v>سكني</v>
      </c>
      <c r="H17" s="26" t="str">
        <f>IFERROR(__xludf.DUMMYFUNCTION("TEXTJOIN(""-"", TRUE, UNIQUE(FILTER('الوحدات'!J:J, 'الوحدات'!B:B = B17)))
"),"شقة")</f>
        <v>شقة</v>
      </c>
      <c r="I17" s="27"/>
      <c r="J17" s="71" t="s">
        <v>162</v>
      </c>
      <c r="K17" s="67" t="s">
        <v>85</v>
      </c>
      <c r="L17" s="60" t="s">
        <v>86</v>
      </c>
      <c r="M17" s="60" t="s">
        <v>87</v>
      </c>
      <c r="N17" s="70" t="s">
        <v>163</v>
      </c>
      <c r="O17" s="71" t="s">
        <v>164</v>
      </c>
      <c r="P17" s="14"/>
      <c r="Q17" s="14"/>
      <c r="R17" s="14"/>
      <c r="S17" s="32">
        <f>COUNTIF('الوحدات'!B:B, B17)</f>
        <v>3</v>
      </c>
      <c r="T17" s="33">
        <f>COUNTIFS('الوحدات'!B:B, B17, 'الوحدات'!M:M, "متاحة")</f>
        <v>0</v>
      </c>
      <c r="U17" s="33">
        <f>COUNTIFS('الوحدات'!B:B, B17, 'الوحدات'!M:M, "تحت الإنشاء")</f>
        <v>1</v>
      </c>
      <c r="V17" s="33">
        <f>COUNTIFS('الوحدات'!B:B, B17, 'الوحدات'!M:M, "محجوزة")</f>
        <v>0</v>
      </c>
      <c r="W17" s="33">
        <f>COUNTIFS('الوحدات'!B:B, B17, 'الوحدات'!M:M, "مباعة")</f>
        <v>2</v>
      </c>
      <c r="X17" s="34">
        <f>IFERROR(AVERAGEIFS('الوحدات'!L:L, 'الوحدات'!B:B, B17), "")</f>
        <v>1945666.667</v>
      </c>
      <c r="Y17" s="35" t="str">
        <f>IFERROR(AVERAGEIFS('الوحدات'!L:L, 'الوحدات'!B:B, B17, 'الوحدات'!M:M, "متاحة"), "")</f>
        <v/>
      </c>
      <c r="Z17" s="34">
        <f>IFERROR(SUMIFS('الوحدات'!L:L, 'الوحدات'!B:B, B17), "")</f>
        <v>5837000</v>
      </c>
      <c r="AA17" s="36">
        <f t="shared" si="5"/>
        <v>0.6849408943</v>
      </c>
      <c r="AB17" s="34">
        <f>IFERROR(SUMIFS('الوحدات'!L:L, 'الوحدات'!B:B, B17, 'الوحدات'!M:M, "تحت الإنشاء"), "")</f>
        <v>1839000</v>
      </c>
      <c r="AC17" s="34">
        <f>IFERROR(SUMIFS('الوحدات'!L:L, 'الوحدات'!B:B, B17, 'الوحدات'!M:M, "متاحة"), "")</f>
        <v>0</v>
      </c>
      <c r="AD17" s="34">
        <f>IFERROR(SUMIFS('الوحدات'!L:L, 'الوحدات'!B:B, B17, 'الوحدات'!M:M, "محجوزة"), "")</f>
        <v>0</v>
      </c>
      <c r="AE17" s="34">
        <f>IFERROR(SUMIFS('الوحدات'!L:L, 'الوحدات'!B:B, B17, 'الوحدات'!M:M, "مباعة"), "")</f>
        <v>3998000</v>
      </c>
      <c r="AF17" s="34">
        <f>IFERROR(MINIFS('الوحدات'!L:L, 'الوحدات'!B:B, B17), "")</f>
        <v>1839000</v>
      </c>
      <c r="AG17" s="34">
        <f>IFERROR(MINIFS('الوحدات'!L:L, 'الوحدات'!B:B, B17, 'الوحدات'!M:M, "متاحة"), "")</f>
        <v>0</v>
      </c>
      <c r="AH17" s="34">
        <f>IFERROR(MAXIFS('الوحدات'!L:L, 'الوحدات'!B:B, B17), "")</f>
        <v>1999000</v>
      </c>
      <c r="AI17" s="34">
        <f>IFERROR(MAXIFS('الوحدات'!L:L, 'الوحدات'!B:B, B17, 'الوحدات'!M:M, "متاحة"), "")</f>
        <v>0</v>
      </c>
      <c r="AJ17" s="32" t="str">
        <f t="shared" ref="AJ17:AK17" si="63">AH17&amp;"-"&amp;AF17</f>
        <v>1999000-1839000</v>
      </c>
      <c r="AK17" s="37" t="str">
        <f t="shared" si="63"/>
        <v>0-0</v>
      </c>
      <c r="AL17" s="33">
        <f>IFERROR(MINIFS('الوحدات'!K:K, 'الوحدات'!B:B, B17), "")</f>
        <v>149</v>
      </c>
      <c r="AM17" s="33">
        <f>IFERROR(MINIFS('الوحدات'!K:K, 'الوحدات'!B:B, B17, 'الوحدات'!M:M, "متاحة"), "")</f>
        <v>0</v>
      </c>
      <c r="AN17" s="33">
        <f>IFERROR(MAXIFS('الوحدات'!K:K, 'الوحدات'!B:B, B17), "")</f>
        <v>164</v>
      </c>
      <c r="AO17" s="33">
        <f>IFERROR(MAXIFS('الوحدات'!K:K, 'الوحدات'!B:B, B17, 'الوحدات'!M:M, "متاحة"), "")</f>
        <v>0</v>
      </c>
      <c r="AP17" s="32" t="str">
        <f t="shared" ref="AP17:AQ17" si="64">AN17&amp;"-"&amp;AL17</f>
        <v>164-149</v>
      </c>
      <c r="AQ17" s="32" t="str">
        <f t="shared" si="64"/>
        <v>0-0</v>
      </c>
      <c r="AR17" s="33">
        <f>IFERROR(MINIFS('الوحدات'!N:N, 'الوحدات'!B:B, B17), "")</f>
        <v>4</v>
      </c>
      <c r="AS17" s="33">
        <f>IFERROR(MINIFS('الوحدات'!N:N, 'الوحدات'!B:B, B17, 'الوحدات'!M:M, "متاحة"), "")</f>
        <v>0</v>
      </c>
      <c r="AT17" s="33">
        <f>IFERROR(MAXIFS('الوحدات'!N:N, 'الوحدات'!B:B, B17), "")</f>
        <v>4</v>
      </c>
      <c r="AU17" s="33">
        <f>IFERROR(MAXIFS('الوحدات'!N:N, 'الوحدات'!B:B, B17, 'الوحدات'!M:M, "متاحة"), "")</f>
        <v>0</v>
      </c>
      <c r="AV17" s="14" t="str">
        <f t="shared" ref="AV17:AW17" si="65">AT17&amp;"-"&amp;AR17</f>
        <v>4-4</v>
      </c>
      <c r="AW17" s="14" t="str">
        <f t="shared" si="65"/>
        <v>0-0</v>
      </c>
      <c r="AX17" s="33">
        <f>IFERROR(MINIFS('الوحدات'!O:O, 'الوحدات'!B:B, B17), "")</f>
        <v>3</v>
      </c>
      <c r="AY17" s="38">
        <f>IFERROR(MINIFS('الوحدات'!O:O, 'الوحدات'!B:B, B17, 'الوحدات'!M:M, "متاحة"), "")</f>
        <v>0</v>
      </c>
      <c r="AZ17" s="38">
        <f>IFERROR(MAXIFS('الوحدات'!O:O, 'الوحدات'!B:B, B17), "")</f>
        <v>3</v>
      </c>
      <c r="BA17" s="33">
        <f>IFERROR(MAXIFS('الوحدات'!O:O, 'الوحدات'!B:B, B17, 'الوحدات'!M:M, "متاحة"), "")</f>
        <v>0</v>
      </c>
      <c r="BB17" s="14" t="str">
        <f t="shared" ref="BB17:BC17" si="66">AZ17&amp;"-"&amp;AX17</f>
        <v>3-3</v>
      </c>
      <c r="BC17" s="14" t="str">
        <f t="shared" si="66"/>
        <v>0-0</v>
      </c>
    </row>
    <row r="18">
      <c r="A18" s="65">
        <v>17.0</v>
      </c>
      <c r="B18" s="14" t="s">
        <v>165</v>
      </c>
      <c r="C18" s="70" t="s">
        <v>118</v>
      </c>
      <c r="D18" s="14">
        <v>112.0</v>
      </c>
      <c r="E18" s="13" t="str">
        <f t="shared" si="58"/>
        <v>ألين - 112</v>
      </c>
      <c r="F18" s="26" t="str">
        <f>IF(COUNTIFS('الوحدات'!B:B,B18,'الوحدات'!M:M,"متاحة")&gt;0,"متاح",
IF(COUNTIFS('الوحدات'!B:B,B18,'الوحدات'!M:M,"&lt;&gt;")=0,
"",
IF(COUNTIFS('الوحدات'!B:B,B18,'الوحدات'!M:M,"تحت الإنشاء")=COUNTIFS('الوحدات'!B:B,B18,'الوحدات'!M:M,"&lt;&gt;"),
"تحت الإنشاء",
IF(COUNTIFS('الوحدات'!B:B,B18,'الوحدات'!M:M,"تحت الإنشاء")&gt;0,
"تحت الإنشاء جزئيا",
"مباعة"
))))
</f>
        <v>تحت الإنشاء</v>
      </c>
      <c r="G18" s="26" t="str">
        <f>IFERROR(__xludf.DUMMYFUNCTION("IF(SUMPRODUCT(('الوحدات'!B:B=B18)*REGEXMATCH(TRIM('الوحدات'!J:J),""^(تاون هاوس|دور|شقة|فيلا)$""))&gt;0,""سكني"","""")"),"سكني")</f>
        <v>سكني</v>
      </c>
      <c r="H18" s="26" t="str">
        <f>IFERROR(__xludf.DUMMYFUNCTION("TEXTJOIN(""-"", TRUE, UNIQUE(FILTER('الوحدات'!J:J, 'الوحدات'!B:B = B18)))
"),"شقة")</f>
        <v>شقة</v>
      </c>
      <c r="I18" s="27"/>
      <c r="J18" s="71" t="s">
        <v>166</v>
      </c>
      <c r="K18" s="67" t="s">
        <v>85</v>
      </c>
      <c r="L18" s="60" t="s">
        <v>86</v>
      </c>
      <c r="M18" s="60" t="s">
        <v>87</v>
      </c>
      <c r="N18" s="70" t="s">
        <v>167</v>
      </c>
      <c r="O18" s="72" t="s">
        <v>168</v>
      </c>
      <c r="P18" s="73"/>
      <c r="Q18" s="73"/>
      <c r="R18" s="73"/>
      <c r="S18" s="32">
        <f>COUNTIF('الوحدات'!B:B, B18)</f>
        <v>7</v>
      </c>
      <c r="T18" s="33">
        <f>COUNTIFS('الوحدات'!B:B, B18, 'الوحدات'!M:M, "متاحة")</f>
        <v>0</v>
      </c>
      <c r="U18" s="33">
        <f>COUNTIFS('الوحدات'!B:B, B18, 'الوحدات'!M:M, "تحت الإنشاء")</f>
        <v>7</v>
      </c>
      <c r="V18" s="33">
        <f>COUNTIFS('الوحدات'!B:B, B18, 'الوحدات'!M:M, "محجوزة")</f>
        <v>0</v>
      </c>
      <c r="W18" s="33">
        <f>COUNTIFS('الوحدات'!B:B, B18, 'الوحدات'!M:M, "مباعة")</f>
        <v>0</v>
      </c>
      <c r="X18" s="34">
        <f>IFERROR(AVERAGEIFS('الوحدات'!L:L, 'الوحدات'!B:B, B18), "")</f>
        <v>1753285.714</v>
      </c>
      <c r="Y18" s="35" t="str">
        <f>IFERROR(AVERAGEIFS('الوحدات'!L:L, 'الوحدات'!B:B, B18, 'الوحدات'!M:M, "متاحة"), "")</f>
        <v/>
      </c>
      <c r="Z18" s="34">
        <f>IFERROR(SUMIFS('الوحدات'!L:L, 'الوحدات'!B:B, B18), "")</f>
        <v>12273000</v>
      </c>
      <c r="AA18" s="36">
        <f t="shared" si="5"/>
        <v>0</v>
      </c>
      <c r="AB18" s="34">
        <f>IFERROR(SUMIFS('الوحدات'!L:L, 'الوحدات'!B:B, B18, 'الوحدات'!M:M, "تحت الإنشاء"), "")</f>
        <v>12273000</v>
      </c>
      <c r="AC18" s="34">
        <f>IFERROR(SUMIFS('الوحدات'!L:L, 'الوحدات'!B:B, B18, 'الوحدات'!M:M, "متاحة"), "")</f>
        <v>0</v>
      </c>
      <c r="AD18" s="34">
        <f>IFERROR(SUMIFS('الوحدات'!L:L, 'الوحدات'!B:B, B18, 'الوحدات'!M:M, "محجوزة"), "")</f>
        <v>0</v>
      </c>
      <c r="AE18" s="34">
        <f>IFERROR(SUMIFS('الوحدات'!L:L, 'الوحدات'!B:B, B18, 'الوحدات'!M:M, "مباعة"), "")</f>
        <v>0</v>
      </c>
      <c r="AF18" s="34">
        <f>IFERROR(MINIFS('الوحدات'!L:L, 'الوحدات'!B:B, B18), "")</f>
        <v>1549000</v>
      </c>
      <c r="AG18" s="34">
        <f>IFERROR(MINIFS('الوحدات'!L:L, 'الوحدات'!B:B, B18, 'الوحدات'!M:M, "متاحة"), "")</f>
        <v>0</v>
      </c>
      <c r="AH18" s="34">
        <f>IFERROR(MAXIFS('الوحدات'!L:L, 'الوحدات'!B:B, B18), "")</f>
        <v>1999000</v>
      </c>
      <c r="AI18" s="34">
        <f>IFERROR(MAXIFS('الوحدات'!L:L, 'الوحدات'!B:B, B18, 'الوحدات'!M:M, "متاحة"), "")</f>
        <v>0</v>
      </c>
      <c r="AJ18" s="32" t="str">
        <f t="shared" ref="AJ18:AK18" si="67">AH18&amp;"-"&amp;AF18</f>
        <v>1999000-1549000</v>
      </c>
      <c r="AK18" s="37" t="str">
        <f t="shared" si="67"/>
        <v>0-0</v>
      </c>
      <c r="AL18" s="33">
        <f>IFERROR(MINIFS('الوحدات'!K:K, 'الوحدات'!B:B, B18), "")</f>
        <v>114</v>
      </c>
      <c r="AM18" s="33">
        <f>IFERROR(MINIFS('الوحدات'!K:K, 'الوحدات'!B:B, B18, 'الوحدات'!M:M, "متاحة"), "")</f>
        <v>0</v>
      </c>
      <c r="AN18" s="33">
        <f>IFERROR(MAXIFS('الوحدات'!K:K, 'الوحدات'!B:B, B18), "")</f>
        <v>135</v>
      </c>
      <c r="AO18" s="33">
        <f>IFERROR(MAXIFS('الوحدات'!K:K, 'الوحدات'!B:B, B18, 'الوحدات'!M:M, "متاحة"), "")</f>
        <v>0</v>
      </c>
      <c r="AP18" s="32" t="str">
        <f t="shared" ref="AP18:AQ18" si="68">AN18&amp;"-"&amp;AL18</f>
        <v>135-114</v>
      </c>
      <c r="AQ18" s="32" t="str">
        <f t="shared" si="68"/>
        <v>0-0</v>
      </c>
      <c r="AR18" s="33">
        <f>IFERROR(MINIFS('الوحدات'!N:N, 'الوحدات'!B:B, B18), "")</f>
        <v>3</v>
      </c>
      <c r="AS18" s="33">
        <f>IFERROR(MINIFS('الوحدات'!N:N, 'الوحدات'!B:B, B18, 'الوحدات'!M:M, "متاحة"), "")</f>
        <v>0</v>
      </c>
      <c r="AT18" s="33">
        <f>IFERROR(MAXIFS('الوحدات'!N:N, 'الوحدات'!B:B, B18), "")</f>
        <v>3</v>
      </c>
      <c r="AU18" s="33">
        <f>IFERROR(MAXIFS('الوحدات'!N:N, 'الوحدات'!B:B, B18, 'الوحدات'!M:M, "متاحة"), "")</f>
        <v>0</v>
      </c>
      <c r="AV18" s="14" t="str">
        <f t="shared" ref="AV18:AW18" si="69">AT18&amp;"-"&amp;AR18</f>
        <v>3-3</v>
      </c>
      <c r="AW18" s="14" t="str">
        <f t="shared" si="69"/>
        <v>0-0</v>
      </c>
      <c r="AX18" s="33">
        <f>IFERROR(MINIFS('الوحدات'!O:O, 'الوحدات'!B:B, B18), "")</f>
        <v>3</v>
      </c>
      <c r="AY18" s="38">
        <f>IFERROR(MINIFS('الوحدات'!O:O, 'الوحدات'!B:B, B18, 'الوحدات'!M:M, "متاحة"), "")</f>
        <v>0</v>
      </c>
      <c r="AZ18" s="38">
        <f>IFERROR(MAXIFS('الوحدات'!O:O, 'الوحدات'!B:B, B18), "")</f>
        <v>3</v>
      </c>
      <c r="BA18" s="33">
        <f>IFERROR(MAXIFS('الوحدات'!O:O, 'الوحدات'!B:B, B18, 'الوحدات'!M:M, "متاحة"), "")</f>
        <v>0</v>
      </c>
      <c r="BB18" s="14" t="str">
        <f t="shared" ref="BB18:BC18" si="70">AZ18&amp;"-"&amp;AX18</f>
        <v>3-3</v>
      </c>
      <c r="BC18" s="14" t="str">
        <f t="shared" si="70"/>
        <v>0-0</v>
      </c>
    </row>
    <row r="19">
      <c r="A19" s="65">
        <v>18.0</v>
      </c>
      <c r="B19" s="14" t="s">
        <v>169</v>
      </c>
      <c r="C19" s="70" t="s">
        <v>118</v>
      </c>
      <c r="D19" s="14">
        <v>122.0</v>
      </c>
      <c r="E19" s="13" t="str">
        <f t="shared" si="58"/>
        <v>ألين - 122</v>
      </c>
      <c r="F19" s="26" t="str">
        <f>IF(COUNTIFS('الوحدات'!B:B,B19,'الوحدات'!M:M,"متاحة")&gt;0,"متاح",
IF(COUNTIFS('الوحدات'!B:B,B19,'الوحدات'!M:M,"&lt;&gt;")=0,
"",
IF(COUNTIFS('الوحدات'!B:B,B19,'الوحدات'!M:M,"تحت الإنشاء")=COUNTIFS('الوحدات'!B:B,B19,'الوحدات'!M:M,"&lt;&gt;"),
"تحت الإنشاء",
IF(COUNTIFS('الوحدات'!B:B,B19,'الوحدات'!M:M,"تحت الإنشاء")&gt;0,
"تحت الإنشاء جزئيا",
"مباعة"
))))
</f>
        <v>تحت الإنشاء</v>
      </c>
      <c r="G19" s="26" t="str">
        <f>IFERROR(__xludf.DUMMYFUNCTION("IF(SUMPRODUCT(('الوحدات'!B:B=B19)*REGEXMATCH(TRIM('الوحدات'!J:J),""^(تاون هاوس|دور|شقة|فيلا)$""))&gt;0,""سكني"","""")"),"سكني")</f>
        <v>سكني</v>
      </c>
      <c r="H19" s="26" t="str">
        <f>IFERROR(__xludf.DUMMYFUNCTION("TEXTJOIN(""-"", TRUE, UNIQUE(FILTER('الوحدات'!J:J, 'الوحدات'!B:B = B19)))
"),"شقة")</f>
        <v>شقة</v>
      </c>
      <c r="I19" s="65" t="s">
        <v>170</v>
      </c>
      <c r="J19" s="71" t="s">
        <v>171</v>
      </c>
      <c r="K19" s="67" t="s">
        <v>85</v>
      </c>
      <c r="L19" s="60" t="s">
        <v>86</v>
      </c>
      <c r="M19" s="60" t="s">
        <v>87</v>
      </c>
      <c r="N19" s="70" t="s">
        <v>172</v>
      </c>
      <c r="O19" s="72" t="s">
        <v>173</v>
      </c>
      <c r="P19" s="73"/>
      <c r="Q19" s="73"/>
      <c r="R19" s="73"/>
      <c r="S19" s="32">
        <f>COUNTIF('الوحدات'!B:B, B19)</f>
        <v>8</v>
      </c>
      <c r="T19" s="33">
        <f>COUNTIFS('الوحدات'!B:B, B19, 'الوحدات'!M:M, "متاحة")</f>
        <v>0</v>
      </c>
      <c r="U19" s="33">
        <f>COUNTIFS('الوحدات'!B:B, B19, 'الوحدات'!M:M, "تحت الإنشاء")</f>
        <v>8</v>
      </c>
      <c r="V19" s="33">
        <f>COUNTIFS('الوحدات'!B:B, B19, 'الوحدات'!M:M, "محجوزة")</f>
        <v>0</v>
      </c>
      <c r="W19" s="33">
        <f>COUNTIFS('الوحدات'!B:B, B19, 'الوحدات'!M:M, "مباعة")</f>
        <v>0</v>
      </c>
      <c r="X19" s="34">
        <f>IFERROR(AVERAGEIFS('الوحدات'!L:L, 'الوحدات'!B:B, B19), "")</f>
        <v>1705250</v>
      </c>
      <c r="Y19" s="35" t="str">
        <f>IFERROR(AVERAGEIFS('الوحدات'!L:L, 'الوحدات'!B:B, B19, 'الوحدات'!M:M, "متاحة"), "")</f>
        <v/>
      </c>
      <c r="Z19" s="34">
        <f>IFERROR(SUMIFS('الوحدات'!L:L, 'الوحدات'!B:B, B19), "")</f>
        <v>13642000</v>
      </c>
      <c r="AA19" s="36">
        <f t="shared" si="5"/>
        <v>0</v>
      </c>
      <c r="AB19" s="34">
        <f>IFERROR(SUMIFS('الوحدات'!L:L, 'الوحدات'!B:B, B19, 'الوحدات'!M:M, "تحت الإنشاء"), "")</f>
        <v>13642000</v>
      </c>
      <c r="AC19" s="34">
        <f>IFERROR(SUMIFS('الوحدات'!L:L, 'الوحدات'!B:B, B19, 'الوحدات'!M:M, "متاحة"), "")</f>
        <v>0</v>
      </c>
      <c r="AD19" s="34">
        <f>IFERROR(SUMIFS('الوحدات'!L:L, 'الوحدات'!B:B, B19, 'الوحدات'!M:M, "محجوزة"), "")</f>
        <v>0</v>
      </c>
      <c r="AE19" s="34">
        <f>IFERROR(SUMIFS('الوحدات'!L:L, 'الوحدات'!B:B, B19, 'الوحدات'!M:M, "مباعة"), "")</f>
        <v>0</v>
      </c>
      <c r="AF19" s="34">
        <f>IFERROR(MINIFS('الوحدات'!L:L, 'الوحدات'!B:B, B19), "")</f>
        <v>1389000</v>
      </c>
      <c r="AG19" s="34">
        <f>IFERROR(MINIFS('الوحدات'!L:L, 'الوحدات'!B:B, B19, 'الوحدات'!M:M, "متاحة"), "")</f>
        <v>0</v>
      </c>
      <c r="AH19" s="34">
        <f>IFERROR(MAXIFS('الوحدات'!L:L, 'الوحدات'!B:B, B19), "")</f>
        <v>2099000</v>
      </c>
      <c r="AI19" s="34">
        <f>IFERROR(MAXIFS('الوحدات'!L:L, 'الوحدات'!B:B, B19, 'الوحدات'!M:M, "متاحة"), "")</f>
        <v>0</v>
      </c>
      <c r="AJ19" s="32" t="str">
        <f t="shared" ref="AJ19:AK19" si="71">AH19&amp;"-"&amp;AF19</f>
        <v>2099000-1389000</v>
      </c>
      <c r="AK19" s="37" t="str">
        <f t="shared" si="71"/>
        <v>0-0</v>
      </c>
      <c r="AL19" s="33">
        <f>IFERROR(MINIFS('الوحدات'!K:K, 'الوحدات'!B:B, B19), "")</f>
        <v>98</v>
      </c>
      <c r="AM19" s="33">
        <f>IFERROR(MINIFS('الوحدات'!K:K, 'الوحدات'!B:B, B19, 'الوحدات'!M:M, "متاحة"), "")</f>
        <v>0</v>
      </c>
      <c r="AN19" s="33">
        <f>IFERROR(MAXIFS('الوحدات'!K:K, 'الوحدات'!B:B, B19), "")</f>
        <v>139</v>
      </c>
      <c r="AO19" s="33">
        <f>IFERROR(MAXIFS('الوحدات'!K:K, 'الوحدات'!B:B, B19, 'الوحدات'!M:M, "متاحة"), "")</f>
        <v>0</v>
      </c>
      <c r="AP19" s="32" t="str">
        <f t="shared" ref="AP19:AQ19" si="72">AN19&amp;"-"&amp;AL19</f>
        <v>139-98</v>
      </c>
      <c r="AQ19" s="32" t="str">
        <f t="shared" si="72"/>
        <v>0-0</v>
      </c>
      <c r="AR19" s="33">
        <f>IFERROR(MINIFS('الوحدات'!N:N, 'الوحدات'!B:B, B19), "")</f>
        <v>1</v>
      </c>
      <c r="AS19" s="33">
        <f>IFERROR(MINIFS('الوحدات'!N:N, 'الوحدات'!B:B, B19, 'الوحدات'!M:M, "متاحة"), "")</f>
        <v>0</v>
      </c>
      <c r="AT19" s="33">
        <f>IFERROR(MAXIFS('الوحدات'!N:N, 'الوحدات'!B:B, B19), "")</f>
        <v>3</v>
      </c>
      <c r="AU19" s="33">
        <f>IFERROR(MAXIFS('الوحدات'!N:N, 'الوحدات'!B:B, B19, 'الوحدات'!M:M, "متاحة"), "")</f>
        <v>0</v>
      </c>
      <c r="AV19" s="14" t="str">
        <f t="shared" ref="AV19:AW19" si="73">AT19&amp;"-"&amp;AR19</f>
        <v>3-1</v>
      </c>
      <c r="AW19" s="14" t="str">
        <f t="shared" si="73"/>
        <v>0-0</v>
      </c>
      <c r="AX19" s="33">
        <f>IFERROR(MINIFS('الوحدات'!O:O, 'الوحدات'!B:B, B19), "")</f>
        <v>2</v>
      </c>
      <c r="AY19" s="38">
        <f>IFERROR(MINIFS('الوحدات'!O:O, 'الوحدات'!B:B, B19, 'الوحدات'!M:M, "متاحة"), "")</f>
        <v>0</v>
      </c>
      <c r="AZ19" s="38">
        <f>IFERROR(MAXIFS('الوحدات'!O:O, 'الوحدات'!B:B, B19), "")</f>
        <v>4</v>
      </c>
      <c r="BA19" s="33">
        <f>IFERROR(MAXIFS('الوحدات'!O:O, 'الوحدات'!B:B, B19, 'الوحدات'!M:M, "متاحة"), "")</f>
        <v>0</v>
      </c>
      <c r="BB19" s="14" t="str">
        <f t="shared" ref="BB19:BC19" si="74">AZ19&amp;"-"&amp;AX19</f>
        <v>4-2</v>
      </c>
      <c r="BC19" s="14" t="str">
        <f t="shared" si="74"/>
        <v>0-0</v>
      </c>
    </row>
    <row r="20">
      <c r="A20" s="65">
        <v>19.0</v>
      </c>
      <c r="B20" s="14" t="s">
        <v>174</v>
      </c>
      <c r="C20" s="70" t="s">
        <v>118</v>
      </c>
      <c r="D20" s="14">
        <v>126.0</v>
      </c>
      <c r="E20" s="13" t="str">
        <f t="shared" si="58"/>
        <v>ألين - 126</v>
      </c>
      <c r="F20" s="26" t="str">
        <f>IF(COUNTIFS('الوحدات'!B:B,B20,'الوحدات'!M:M,"متاحة")&gt;0,"متاح",
IF(COUNTIFS('الوحدات'!B:B,B20,'الوحدات'!M:M,"&lt;&gt;")=0,
"",
IF(COUNTIFS('الوحدات'!B:B,B20,'الوحدات'!M:M,"تحت الإنشاء")=COUNTIFS('الوحدات'!B:B,B20,'الوحدات'!M:M,"&lt;&gt;"),
"تحت الإنشاء",
IF(COUNTIFS('الوحدات'!B:B,B20,'الوحدات'!M:M,"تحت الإنشاء")&gt;0,
"تحت الإنشاء جزئيا",
"مباعة"
))))
</f>
        <v>تحت الإنشاء</v>
      </c>
      <c r="G20" s="26" t="str">
        <f>IFERROR(__xludf.DUMMYFUNCTION("IF(SUMPRODUCT(('الوحدات'!B:B=B20)*REGEXMATCH(TRIM('الوحدات'!J:J),""^(تاون هاوس|دور|شقة|فيلا)$""))&gt;0,""سكني"","""")"),"سكني")</f>
        <v>سكني</v>
      </c>
      <c r="H20" s="26" t="str">
        <f>IFERROR(__xludf.DUMMYFUNCTION("TEXTJOIN(""-"", TRUE, UNIQUE(FILTER('الوحدات'!J:J, 'الوحدات'!B:B = B20)))
"),"شقة")</f>
        <v>شقة</v>
      </c>
      <c r="I20" s="74">
        <v>46193.0</v>
      </c>
      <c r="J20" s="75" t="s">
        <v>175</v>
      </c>
      <c r="K20" s="67" t="s">
        <v>85</v>
      </c>
      <c r="L20" s="60" t="s">
        <v>86</v>
      </c>
      <c r="M20" s="60" t="s">
        <v>87</v>
      </c>
      <c r="N20" s="70" t="s">
        <v>176</v>
      </c>
      <c r="O20" s="72" t="s">
        <v>177</v>
      </c>
      <c r="P20" s="73"/>
      <c r="Q20" s="73"/>
      <c r="R20" s="73"/>
      <c r="S20" s="32">
        <f>COUNTIF('الوحدات'!B:B, B20)</f>
        <v>10</v>
      </c>
      <c r="T20" s="33">
        <f>COUNTIFS('الوحدات'!B:B, B20, 'الوحدات'!M:M, "متاحة")</f>
        <v>0</v>
      </c>
      <c r="U20" s="33">
        <f>COUNTIFS('الوحدات'!B:B, B20, 'الوحدات'!M:M, "تحت الإنشاء")</f>
        <v>10</v>
      </c>
      <c r="V20" s="33">
        <f>COUNTIFS('الوحدات'!B:B, B20, 'الوحدات'!M:M, "محجوزة")</f>
        <v>0</v>
      </c>
      <c r="W20" s="33">
        <f>COUNTIFS('الوحدات'!B:B, B20, 'الوحدات'!M:M, "مباعة")</f>
        <v>0</v>
      </c>
      <c r="X20" s="34">
        <f>IFERROR(AVERAGEIFS('الوحدات'!L:L, 'الوحدات'!B:B, B20), "")</f>
        <v>1609000</v>
      </c>
      <c r="Y20" s="35" t="str">
        <f>IFERROR(AVERAGEIFS('الوحدات'!L:L, 'الوحدات'!B:B, B20, 'الوحدات'!M:M, "متاحة"), "")</f>
        <v/>
      </c>
      <c r="Z20" s="34">
        <f>IFERROR(SUMIFS('الوحدات'!L:L, 'الوحدات'!B:B, B20), "")</f>
        <v>16090000</v>
      </c>
      <c r="AA20" s="36">
        <f t="shared" si="5"/>
        <v>0</v>
      </c>
      <c r="AB20" s="34">
        <f>IFERROR(SUMIFS('الوحدات'!L:L, 'الوحدات'!B:B, B20, 'الوحدات'!M:M, "تحت الإنشاء"), "")</f>
        <v>16090000</v>
      </c>
      <c r="AC20" s="34">
        <f>IFERROR(SUMIFS('الوحدات'!L:L, 'الوحدات'!B:B, B20, 'الوحدات'!M:M, "متاحة"), "")</f>
        <v>0</v>
      </c>
      <c r="AD20" s="34">
        <f>IFERROR(SUMIFS('الوحدات'!L:L, 'الوحدات'!B:B, B20, 'الوحدات'!M:M, "محجوزة"), "")</f>
        <v>0</v>
      </c>
      <c r="AE20" s="34">
        <f>IFERROR(SUMIFS('الوحدات'!L:L, 'الوحدات'!B:B, B20, 'الوحدات'!M:M, "مباعة"), "")</f>
        <v>0</v>
      </c>
      <c r="AF20" s="34">
        <f>IFERROR(MINIFS('الوحدات'!L:L, 'الوحدات'!B:B, B20), "")</f>
        <v>1399000</v>
      </c>
      <c r="AG20" s="34">
        <f>IFERROR(MINIFS('الوحدات'!L:L, 'الوحدات'!B:B, B20, 'الوحدات'!M:M, "متاحة"), "")</f>
        <v>0</v>
      </c>
      <c r="AH20" s="34">
        <f>IFERROR(MAXIFS('الوحدات'!L:L, 'الوحدات'!B:B, B20), "")</f>
        <v>1799000</v>
      </c>
      <c r="AI20" s="34">
        <f>IFERROR(MAXIFS('الوحدات'!L:L, 'الوحدات'!B:B, B20, 'الوحدات'!M:M, "متاحة"), "")</f>
        <v>0</v>
      </c>
      <c r="AJ20" s="32" t="str">
        <f t="shared" ref="AJ20:AK20" si="75">AH20&amp;"-"&amp;AF20</f>
        <v>1799000-1399000</v>
      </c>
      <c r="AK20" s="37" t="str">
        <f t="shared" si="75"/>
        <v>0-0</v>
      </c>
      <c r="AL20" s="33">
        <f>IFERROR(MINIFS('الوحدات'!K:K, 'الوحدات'!B:B, B20), "")</f>
        <v>87</v>
      </c>
      <c r="AM20" s="33">
        <f>IFERROR(MINIFS('الوحدات'!K:K, 'الوحدات'!B:B, B20, 'الوحدات'!M:M, "متاحة"), "")</f>
        <v>0</v>
      </c>
      <c r="AN20" s="33">
        <f>IFERROR(MAXIFS('الوحدات'!K:K, 'الوحدات'!B:B, B20), "")</f>
        <v>140</v>
      </c>
      <c r="AO20" s="33">
        <f>IFERROR(MAXIFS('الوحدات'!K:K, 'الوحدات'!B:B, B20, 'الوحدات'!M:M, "متاحة"), "")</f>
        <v>0</v>
      </c>
      <c r="AP20" s="32" t="str">
        <f t="shared" ref="AP20:AQ20" si="76">AN20&amp;"-"&amp;AL20</f>
        <v>140-87</v>
      </c>
      <c r="AQ20" s="32" t="str">
        <f t="shared" si="76"/>
        <v>0-0</v>
      </c>
      <c r="AR20" s="33">
        <f>IFERROR(MINIFS('الوحدات'!N:N, 'الوحدات'!B:B, B20), "")</f>
        <v>2</v>
      </c>
      <c r="AS20" s="33">
        <f>IFERROR(MINIFS('الوحدات'!N:N, 'الوحدات'!B:B, B20, 'الوحدات'!M:M, "متاحة"), "")</f>
        <v>0</v>
      </c>
      <c r="AT20" s="33">
        <f>IFERROR(MAXIFS('الوحدات'!N:N, 'الوحدات'!B:B, B20), "")</f>
        <v>3</v>
      </c>
      <c r="AU20" s="33">
        <f>IFERROR(MAXIFS('الوحدات'!N:N, 'الوحدات'!B:B, B20, 'الوحدات'!M:M, "متاحة"), "")</f>
        <v>0</v>
      </c>
      <c r="AV20" s="14" t="str">
        <f t="shared" ref="AV20:AW20" si="77">AT20&amp;"-"&amp;AR20</f>
        <v>3-2</v>
      </c>
      <c r="AW20" s="14" t="str">
        <f t="shared" si="77"/>
        <v>0-0</v>
      </c>
      <c r="AX20" s="33">
        <f>IFERROR(MINIFS('الوحدات'!O:O, 'الوحدات'!B:B, B20), "")</f>
        <v>2</v>
      </c>
      <c r="AY20" s="38">
        <f>IFERROR(MINIFS('الوحدات'!O:O, 'الوحدات'!B:B, B20, 'الوحدات'!M:M, "متاحة"), "")</f>
        <v>0</v>
      </c>
      <c r="AZ20" s="38">
        <f>IFERROR(MAXIFS('الوحدات'!O:O, 'الوحدات'!B:B, B20), "")</f>
        <v>4</v>
      </c>
      <c r="BA20" s="33">
        <f>IFERROR(MAXIFS('الوحدات'!O:O, 'الوحدات'!B:B, B20, 'الوحدات'!M:M, "متاحة"), "")</f>
        <v>0</v>
      </c>
      <c r="BB20" s="14" t="str">
        <f t="shared" ref="BB20:BC20" si="78">AZ20&amp;"-"&amp;AX20</f>
        <v>4-2</v>
      </c>
      <c r="BC20" s="14" t="str">
        <f t="shared" si="78"/>
        <v>0-0</v>
      </c>
    </row>
    <row r="21">
      <c r="A21" s="65">
        <v>20.0</v>
      </c>
      <c r="B21" s="14" t="s">
        <v>178</v>
      </c>
      <c r="C21" s="70" t="s">
        <v>118</v>
      </c>
      <c r="D21" s="14">
        <v>130.0</v>
      </c>
      <c r="E21" s="13" t="str">
        <f t="shared" si="58"/>
        <v>ألين - 130</v>
      </c>
      <c r="F21" s="26" t="str">
        <f>IF(COUNTIFS('الوحدات'!B:B,B21,'الوحدات'!M:M,"متاحة")&gt;0,"متاح",
IF(COUNTIFS('الوحدات'!B:B,B21,'الوحدات'!M:M,"&lt;&gt;")=0,
"",
IF(COUNTIFS('الوحدات'!B:B,B21,'الوحدات'!M:M,"تحت الإنشاء")=COUNTIFS('الوحدات'!B:B,B21,'الوحدات'!M:M,"&lt;&gt;"),
"تحت الإنشاء",
IF(COUNTIFS('الوحدات'!B:B,B21,'الوحدات'!M:M,"تحت الإنشاء")&gt;0,
"تحت الإنشاء جزئيا",
"مباعة"
))))
</f>
        <v>تحت الإنشاء</v>
      </c>
      <c r="G21" s="26" t="str">
        <f>IFERROR(__xludf.DUMMYFUNCTION("IF(SUMPRODUCT(('الوحدات'!B:B=B21)*REGEXMATCH(TRIM('الوحدات'!J:J),""^(تاون هاوس|دور|شقة|فيلا)$""))&gt;0,""سكني"","""")"),"سكني")</f>
        <v>سكني</v>
      </c>
      <c r="H21" s="26" t="str">
        <f>IFERROR(__xludf.DUMMYFUNCTION("TEXTJOIN(""-"", TRUE, UNIQUE(FILTER('الوحدات'!J:J, 'الوحدات'!B:B = B21)))
"),"شقة")</f>
        <v>شقة</v>
      </c>
      <c r="I21" s="74">
        <v>46232.0</v>
      </c>
      <c r="J21" s="71" t="s">
        <v>179</v>
      </c>
      <c r="K21" s="67" t="s">
        <v>85</v>
      </c>
      <c r="L21" s="60" t="s">
        <v>86</v>
      </c>
      <c r="M21" s="60" t="s">
        <v>87</v>
      </c>
      <c r="N21" s="70" t="s">
        <v>180</v>
      </c>
      <c r="O21" s="72" t="s">
        <v>181</v>
      </c>
      <c r="P21" s="73"/>
      <c r="Q21" s="73"/>
      <c r="R21" s="73"/>
      <c r="S21" s="32">
        <f>COUNTIF('الوحدات'!B:B, B21)</f>
        <v>30</v>
      </c>
      <c r="T21" s="33">
        <f>COUNTIFS('الوحدات'!B:B, B21, 'الوحدات'!M:M, "متاحة")</f>
        <v>0</v>
      </c>
      <c r="U21" s="33">
        <f>COUNTIFS('الوحدات'!B:B, B21, 'الوحدات'!M:M, "تحت الإنشاء")</f>
        <v>30</v>
      </c>
      <c r="V21" s="33">
        <f>COUNTIFS('الوحدات'!B:B, B21, 'الوحدات'!M:M, "محجوزة")</f>
        <v>0</v>
      </c>
      <c r="W21" s="33">
        <f>COUNTIFS('الوحدات'!B:B, B21, 'الوحدات'!M:M, "مباعة")</f>
        <v>0</v>
      </c>
      <c r="X21" s="34">
        <f>IFERROR(AVERAGEIFS('الوحدات'!L:L, 'الوحدات'!B:B, B21), "")</f>
        <v>2055000</v>
      </c>
      <c r="Y21" s="35" t="str">
        <f>IFERROR(AVERAGEIFS('الوحدات'!L:L, 'الوحدات'!B:B, B21, 'الوحدات'!M:M, "متاحة"), "")</f>
        <v/>
      </c>
      <c r="Z21" s="34">
        <f>IFERROR(SUMIFS('الوحدات'!L:L, 'الوحدات'!B:B, B21), "")</f>
        <v>61650000</v>
      </c>
      <c r="AA21" s="36">
        <f t="shared" si="5"/>
        <v>0</v>
      </c>
      <c r="AB21" s="34">
        <f>IFERROR(SUMIFS('الوحدات'!L:L, 'الوحدات'!B:B, B21, 'الوحدات'!M:M, "تحت الإنشاء"), "")</f>
        <v>61650000</v>
      </c>
      <c r="AC21" s="34">
        <f>IFERROR(SUMIFS('الوحدات'!L:L, 'الوحدات'!B:B, B21, 'الوحدات'!M:M, "متاحة"), "")</f>
        <v>0</v>
      </c>
      <c r="AD21" s="34">
        <f>IFERROR(SUMIFS('الوحدات'!L:L, 'الوحدات'!B:B, B21, 'الوحدات'!M:M, "محجوزة"), "")</f>
        <v>0</v>
      </c>
      <c r="AE21" s="34">
        <f>IFERROR(SUMIFS('الوحدات'!L:L, 'الوحدات'!B:B, B21, 'الوحدات'!M:M, "مباعة"), "")</f>
        <v>0</v>
      </c>
      <c r="AF21" s="34">
        <f>IFERROR(MINIFS('الوحدات'!L:L, 'الوحدات'!B:B, B21), "")</f>
        <v>1559000</v>
      </c>
      <c r="AG21" s="34">
        <f>IFERROR(MINIFS('الوحدات'!L:L, 'الوحدات'!B:B, B21, 'الوحدات'!M:M, "متاحة"), "")</f>
        <v>0</v>
      </c>
      <c r="AH21" s="34">
        <f>IFERROR(MAXIFS('الوحدات'!L:L, 'الوحدات'!B:B, B21), "")</f>
        <v>2699000</v>
      </c>
      <c r="AI21" s="34">
        <f>IFERROR(MAXIFS('الوحدات'!L:L, 'الوحدات'!B:B, B21, 'الوحدات'!M:M, "متاحة"), "")</f>
        <v>0</v>
      </c>
      <c r="AJ21" s="32" t="str">
        <f t="shared" ref="AJ21:AK21" si="79">AH21&amp;"-"&amp;AF21</f>
        <v>2699000-1559000</v>
      </c>
      <c r="AK21" s="37" t="str">
        <f t="shared" si="79"/>
        <v>0-0</v>
      </c>
      <c r="AL21" s="33">
        <f>IFERROR(MINIFS('الوحدات'!K:K, 'الوحدات'!B:B, B21), "")</f>
        <v>89</v>
      </c>
      <c r="AM21" s="33">
        <f>IFERROR(MINIFS('الوحدات'!K:K, 'الوحدات'!B:B, B21, 'الوحدات'!M:M, "متاحة"), "")</f>
        <v>0</v>
      </c>
      <c r="AN21" s="33">
        <f>IFERROR(MAXIFS('الوحدات'!K:K, 'الوحدات'!B:B, B21), "")</f>
        <v>170</v>
      </c>
      <c r="AO21" s="33">
        <f>IFERROR(MAXIFS('الوحدات'!K:K, 'الوحدات'!B:B, B21, 'الوحدات'!M:M, "متاحة"), "")</f>
        <v>0</v>
      </c>
      <c r="AP21" s="32" t="str">
        <f t="shared" ref="AP21:AQ21" si="80">AN21&amp;"-"&amp;AL21</f>
        <v>170-89</v>
      </c>
      <c r="AQ21" s="32" t="str">
        <f t="shared" si="80"/>
        <v>0-0</v>
      </c>
      <c r="AR21" s="33">
        <f>IFERROR(MINIFS('الوحدات'!N:N, 'الوحدات'!B:B, B21), "")</f>
        <v>2</v>
      </c>
      <c r="AS21" s="33">
        <f>IFERROR(MINIFS('الوحدات'!N:N, 'الوحدات'!B:B, B21, 'الوحدات'!M:M, "متاحة"), "")</f>
        <v>0</v>
      </c>
      <c r="AT21" s="33">
        <f>IFERROR(MAXIFS('الوحدات'!N:N, 'الوحدات'!B:B, B21), "")</f>
        <v>3</v>
      </c>
      <c r="AU21" s="33">
        <f>IFERROR(MAXIFS('الوحدات'!N:N, 'الوحدات'!B:B, B21, 'الوحدات'!M:M, "متاحة"), "")</f>
        <v>0</v>
      </c>
      <c r="AV21" s="14" t="str">
        <f t="shared" ref="AV21:AW21" si="81">AT21&amp;"-"&amp;AR21</f>
        <v>3-2</v>
      </c>
      <c r="AW21" s="14" t="str">
        <f t="shared" si="81"/>
        <v>0-0</v>
      </c>
      <c r="AX21" s="33">
        <f>IFERROR(MINIFS('الوحدات'!O:O, 'الوحدات'!B:B, B21), "")</f>
        <v>3</v>
      </c>
      <c r="AY21" s="38">
        <f>IFERROR(MINIFS('الوحدات'!O:O, 'الوحدات'!B:B, B21, 'الوحدات'!M:M, "متاحة"), "")</f>
        <v>0</v>
      </c>
      <c r="AZ21" s="38">
        <f>IFERROR(MAXIFS('الوحدات'!O:O, 'الوحدات'!B:B, B21), "")</f>
        <v>4</v>
      </c>
      <c r="BA21" s="33">
        <f>IFERROR(MAXIFS('الوحدات'!O:O, 'الوحدات'!B:B, B21, 'الوحدات'!M:M, "متاحة"), "")</f>
        <v>0</v>
      </c>
      <c r="BB21" s="14" t="str">
        <f t="shared" ref="BB21:BC21" si="82">AZ21&amp;"-"&amp;AX21</f>
        <v>4-3</v>
      </c>
      <c r="BC21" s="14" t="str">
        <f t="shared" si="82"/>
        <v>0-0</v>
      </c>
    </row>
    <row r="22">
      <c r="A22" s="65">
        <v>21.0</v>
      </c>
      <c r="B22" s="14" t="s">
        <v>182</v>
      </c>
      <c r="C22" s="70" t="s">
        <v>118</v>
      </c>
      <c r="D22" s="14">
        <v>138.0</v>
      </c>
      <c r="E22" s="13" t="str">
        <f t="shared" si="58"/>
        <v>ألين - 138</v>
      </c>
      <c r="F22" s="26" t="str">
        <f>IF(COUNTIFS('الوحدات'!B:B,B22,'الوحدات'!M:M,"متاحة")&gt;0,"متاح",
IF(COUNTIFS('الوحدات'!B:B,B22,'الوحدات'!M:M,"&lt;&gt;")=0,
"",
IF(COUNTIFS('الوحدات'!B:B,B22,'الوحدات'!M:M,"تحت الإنشاء")=COUNTIFS('الوحدات'!B:B,B22,'الوحدات'!M:M,"&lt;&gt;"),
"تحت الإنشاء",
IF(COUNTIFS('الوحدات'!B:B,B22,'الوحدات'!M:M,"تحت الإنشاء")&gt;0,
"تحت الإنشاء جزئيا",
"مباعة"
))))
</f>
        <v>تحت الإنشاء</v>
      </c>
      <c r="G22" s="26" t="str">
        <f>IFERROR(__xludf.DUMMYFUNCTION("IF(SUMPRODUCT(('الوحدات'!B:B=B22)*REGEXMATCH(TRIM('الوحدات'!J:J),""^(تاون هاوس|دور|شقة|فيلا)$""))&gt;0,""سكني"","""")"),"سكني")</f>
        <v>سكني</v>
      </c>
      <c r="H22" s="26" t="str">
        <f>IFERROR(__xludf.DUMMYFUNCTION("TEXTJOIN(""-"", TRUE, UNIQUE(FILTER('الوحدات'!J:J, 'الوحدات'!B:B = B22)))
"),"شقة")</f>
        <v>شقة</v>
      </c>
      <c r="I22" s="74">
        <v>46232.0</v>
      </c>
      <c r="J22" s="71" t="s">
        <v>183</v>
      </c>
      <c r="K22" s="67" t="s">
        <v>85</v>
      </c>
      <c r="L22" s="60" t="s">
        <v>86</v>
      </c>
      <c r="M22" s="60" t="s">
        <v>87</v>
      </c>
      <c r="N22" s="70" t="s">
        <v>184</v>
      </c>
      <c r="O22" s="72" t="s">
        <v>185</v>
      </c>
      <c r="P22" s="73"/>
      <c r="Q22" s="73"/>
      <c r="R22" s="73"/>
      <c r="S22" s="32">
        <f>COUNTIF('الوحدات'!B:B, B22)</f>
        <v>10</v>
      </c>
      <c r="T22" s="33">
        <f>COUNTIFS('الوحدات'!B:B, B22, 'الوحدات'!M:M, "متاحة")</f>
        <v>0</v>
      </c>
      <c r="U22" s="33">
        <f>COUNTIFS('الوحدات'!B:B, B22, 'الوحدات'!M:M, "تحت الإنشاء")</f>
        <v>10</v>
      </c>
      <c r="V22" s="33">
        <f>COUNTIFS('الوحدات'!B:B, B22, 'الوحدات'!M:M, "محجوزة")</f>
        <v>0</v>
      </c>
      <c r="W22" s="33">
        <f>COUNTIFS('الوحدات'!B:B, B22, 'الوحدات'!M:M, "مباعة")</f>
        <v>0</v>
      </c>
      <c r="X22" s="34">
        <f>IFERROR(AVERAGEIFS('الوحدات'!L:L, 'الوحدات'!B:B, B22), "")</f>
        <v>2178000</v>
      </c>
      <c r="Y22" s="35" t="str">
        <f>IFERROR(AVERAGEIFS('الوحدات'!L:L, 'الوحدات'!B:B, B22, 'الوحدات'!M:M, "متاحة"), "")</f>
        <v/>
      </c>
      <c r="Z22" s="34">
        <f>IFERROR(SUMIFS('الوحدات'!L:L, 'الوحدات'!B:B, B22), "")</f>
        <v>21780000</v>
      </c>
      <c r="AA22" s="36">
        <f t="shared" si="5"/>
        <v>0</v>
      </c>
      <c r="AB22" s="34">
        <f>IFERROR(SUMIFS('الوحدات'!L:L, 'الوحدات'!B:B, B22, 'الوحدات'!M:M, "تحت الإنشاء"), "")</f>
        <v>21780000</v>
      </c>
      <c r="AC22" s="34">
        <f>IFERROR(SUMIFS('الوحدات'!L:L, 'الوحدات'!B:B, B22, 'الوحدات'!M:M, "متاحة"), "")</f>
        <v>0</v>
      </c>
      <c r="AD22" s="34">
        <f>IFERROR(SUMIFS('الوحدات'!L:L, 'الوحدات'!B:B, B22, 'الوحدات'!M:M, "محجوزة"), "")</f>
        <v>0</v>
      </c>
      <c r="AE22" s="34">
        <f>IFERROR(SUMIFS('الوحدات'!L:L, 'الوحدات'!B:B, B22, 'الوحدات'!M:M, "مباعة"), "")</f>
        <v>0</v>
      </c>
      <c r="AF22" s="34">
        <f>IFERROR(MINIFS('الوحدات'!L:L, 'الوحدات'!B:B, B22), "")</f>
        <v>1919000</v>
      </c>
      <c r="AG22" s="34">
        <f>IFERROR(MINIFS('الوحدات'!L:L, 'الوحدات'!B:B, B22, 'الوحدات'!M:M, "متاحة"), "")</f>
        <v>0</v>
      </c>
      <c r="AH22" s="34">
        <f>IFERROR(MAXIFS('الوحدات'!L:L, 'الوحدات'!B:B, B22), "")</f>
        <v>2349000</v>
      </c>
      <c r="AI22" s="34">
        <f>IFERROR(MAXIFS('الوحدات'!L:L, 'الوحدات'!B:B, B22, 'الوحدات'!M:M, "متاحة"), "")</f>
        <v>0</v>
      </c>
      <c r="AJ22" s="32" t="str">
        <f t="shared" ref="AJ22:AK22" si="83">AH22&amp;"-"&amp;AF22</f>
        <v>2349000-1919000</v>
      </c>
      <c r="AK22" s="37" t="str">
        <f t="shared" si="83"/>
        <v>0-0</v>
      </c>
      <c r="AL22" s="33">
        <f>IFERROR(MINIFS('الوحدات'!K:K, 'الوحدات'!B:B, B22), "")</f>
        <v>91</v>
      </c>
      <c r="AM22" s="33">
        <f>IFERROR(MINIFS('الوحدات'!K:K, 'الوحدات'!B:B, B22, 'الوحدات'!M:M, "متاحة"), "")</f>
        <v>0</v>
      </c>
      <c r="AN22" s="33">
        <f>IFERROR(MAXIFS('الوحدات'!K:K, 'الوحدات'!B:B, B22), "")</f>
        <v>139</v>
      </c>
      <c r="AO22" s="33">
        <f>IFERROR(MAXIFS('الوحدات'!K:K, 'الوحدات'!B:B, B22, 'الوحدات'!M:M, "متاحة"), "")</f>
        <v>0</v>
      </c>
      <c r="AP22" s="32" t="str">
        <f t="shared" ref="AP22:AQ22" si="84">AN22&amp;"-"&amp;AL22</f>
        <v>139-91</v>
      </c>
      <c r="AQ22" s="32" t="str">
        <f t="shared" si="84"/>
        <v>0-0</v>
      </c>
      <c r="AR22" s="33">
        <f>IFERROR(MINIFS('الوحدات'!N:N, 'الوحدات'!B:B, B22), "")</f>
        <v>2</v>
      </c>
      <c r="AS22" s="33">
        <f>IFERROR(MINIFS('الوحدات'!N:N, 'الوحدات'!B:B, B22, 'الوحدات'!M:M, "متاحة"), "")</f>
        <v>0</v>
      </c>
      <c r="AT22" s="33">
        <f>IFERROR(MAXIFS('الوحدات'!N:N, 'الوحدات'!B:B, B22), "")</f>
        <v>3</v>
      </c>
      <c r="AU22" s="33">
        <f>IFERROR(MAXIFS('الوحدات'!N:N, 'الوحدات'!B:B, B22, 'الوحدات'!M:M, "متاحة"), "")</f>
        <v>0</v>
      </c>
      <c r="AV22" s="14" t="str">
        <f t="shared" ref="AV22:AW22" si="85">AT22&amp;"-"&amp;AR22</f>
        <v>3-2</v>
      </c>
      <c r="AW22" s="14" t="str">
        <f t="shared" si="85"/>
        <v>0-0</v>
      </c>
      <c r="AX22" s="33">
        <f>IFERROR(MINIFS('الوحدات'!O:O, 'الوحدات'!B:B, B22), "")</f>
        <v>2</v>
      </c>
      <c r="AY22" s="38">
        <f>IFERROR(MINIFS('الوحدات'!O:O, 'الوحدات'!B:B, B22, 'الوحدات'!M:M, "متاحة"), "")</f>
        <v>0</v>
      </c>
      <c r="AZ22" s="38">
        <f>IFERROR(MAXIFS('الوحدات'!O:O, 'الوحدات'!B:B, B22), "")</f>
        <v>4</v>
      </c>
      <c r="BA22" s="33">
        <f>IFERROR(MAXIFS('الوحدات'!O:O, 'الوحدات'!B:B, B22, 'الوحدات'!M:M, "متاحة"), "")</f>
        <v>0</v>
      </c>
      <c r="BB22" s="14" t="str">
        <f t="shared" ref="BB22:BC22" si="86">AZ22&amp;"-"&amp;AX22</f>
        <v>4-2</v>
      </c>
      <c r="BC22" s="14" t="str">
        <f t="shared" si="86"/>
        <v>0-0</v>
      </c>
    </row>
    <row r="23">
      <c r="A23" s="65">
        <v>22.0</v>
      </c>
      <c r="B23" s="14" t="s">
        <v>186</v>
      </c>
      <c r="C23" s="70" t="s">
        <v>118</v>
      </c>
      <c r="D23" s="14">
        <v>27.0</v>
      </c>
      <c r="E23" s="13" t="str">
        <f t="shared" si="58"/>
        <v>ألين - 27</v>
      </c>
      <c r="F23" s="26" t="str">
        <f>IF(COUNTIFS('الوحدات'!B:B,B23,'الوحدات'!M:M,"متاحة")&gt;0,"متاح",
IF(COUNTIFS('الوحدات'!B:B,B23,'الوحدات'!M:M,"&lt;&gt;")=0,
"",
IF(COUNTIFS('الوحدات'!B:B,B23,'الوحدات'!M:M,"تحت الإنشاء")=COUNTIFS('الوحدات'!B:B,B23,'الوحدات'!M:M,"&lt;&gt;"),
"تحت الإنشاء",
IF(COUNTIFS('الوحدات'!B:B,B23,'الوحدات'!M:M,"تحت الإنشاء")&gt;0,
"تحت الإنشاء جزئيا",
"مباعة"
))))
</f>
        <v>متاح</v>
      </c>
      <c r="G23" s="26" t="str">
        <f>IFERROR(__xludf.DUMMYFUNCTION("IF(SUMPRODUCT(('الوحدات'!B:B=B23)*REGEXMATCH(TRIM('الوحدات'!J:J),""^(تاون هاوس|دور|شقة|فيلا)$""))&gt;0,""سكني"","""")"),"سكني")</f>
        <v>سكني</v>
      </c>
      <c r="H23" s="26" t="str">
        <f>IFERROR(__xludf.DUMMYFUNCTION("TEXTJOIN(""-"", TRUE, UNIQUE(FILTER('الوحدات'!J:J, 'الوحدات'!B:B = B23)))
"),"دور")</f>
        <v>دور</v>
      </c>
      <c r="I23" s="76"/>
      <c r="J23" s="71" t="s">
        <v>187</v>
      </c>
      <c r="K23" s="67" t="s">
        <v>85</v>
      </c>
      <c r="L23" s="60" t="s">
        <v>86</v>
      </c>
      <c r="M23" s="60" t="s">
        <v>87</v>
      </c>
      <c r="N23" s="70" t="s">
        <v>184</v>
      </c>
      <c r="O23" s="72" t="s">
        <v>188</v>
      </c>
      <c r="P23" s="73"/>
      <c r="Q23" s="73"/>
      <c r="R23" s="73"/>
      <c r="S23" s="32">
        <f>COUNTIF('الوحدات'!B:B, B23)</f>
        <v>6</v>
      </c>
      <c r="T23" s="33">
        <f>COUNTIFS('الوحدات'!B:B, B23, 'الوحدات'!M:M, "متاحة")</f>
        <v>6</v>
      </c>
      <c r="U23" s="33">
        <f>COUNTIFS('الوحدات'!B:B, B23, 'الوحدات'!M:M, "تحت الإنشاء")</f>
        <v>0</v>
      </c>
      <c r="V23" s="33">
        <f>COUNTIFS('الوحدات'!B:B, B23, 'الوحدات'!M:M, "محجوزة")</f>
        <v>0</v>
      </c>
      <c r="W23" s="33">
        <f>COUNTIFS('الوحدات'!B:B, B23, 'الوحدات'!M:M, "مباعة")</f>
        <v>0</v>
      </c>
      <c r="X23" s="34">
        <f>IFERROR(AVERAGEIFS('الوحدات'!L:L, 'الوحدات'!B:B, B23), "")</f>
        <v>2717333.333</v>
      </c>
      <c r="Y23" s="35">
        <f>IFERROR(AVERAGEIFS('الوحدات'!L:L, 'الوحدات'!B:B, B23, 'الوحدات'!M:M, "متاحة"), "")</f>
        <v>2717333.333</v>
      </c>
      <c r="Z23" s="34">
        <f>IFERROR(SUMIFS('الوحدات'!L:L, 'الوحدات'!B:B, B23), "")</f>
        <v>16304000</v>
      </c>
      <c r="AA23" s="36">
        <f t="shared" si="5"/>
        <v>0</v>
      </c>
      <c r="AB23" s="34">
        <f>IFERROR(SUMIFS('الوحدات'!L:L, 'الوحدات'!B:B, B23, 'الوحدات'!M:M, "تحت الإنشاء"), "")</f>
        <v>0</v>
      </c>
      <c r="AC23" s="34">
        <f>IFERROR(SUMIFS('الوحدات'!L:L, 'الوحدات'!B:B, B23, 'الوحدات'!M:M, "متاحة"), "")</f>
        <v>16304000</v>
      </c>
      <c r="AD23" s="34">
        <f>IFERROR(SUMIFS('الوحدات'!L:L, 'الوحدات'!B:B, B23, 'الوحدات'!M:M, "محجوزة"), "")</f>
        <v>0</v>
      </c>
      <c r="AE23" s="34">
        <f>IFERROR(SUMIFS('الوحدات'!L:L, 'الوحدات'!B:B, B23, 'الوحدات'!M:M, "مباعة"), "")</f>
        <v>0</v>
      </c>
      <c r="AF23" s="34">
        <f>IFERROR(MINIFS('الوحدات'!L:L, 'الوحدات'!B:B, B23), "")</f>
        <v>2639000</v>
      </c>
      <c r="AG23" s="34">
        <f>IFERROR(MINIFS('الوحدات'!L:L, 'الوحدات'!B:B, B23, 'الوحدات'!M:M, "متاحة"), "")</f>
        <v>2639000</v>
      </c>
      <c r="AH23" s="34">
        <f>IFERROR(MAXIFS('الوحدات'!L:L, 'الوحدات'!B:B, B23), "")</f>
        <v>2769000</v>
      </c>
      <c r="AI23" s="34">
        <f>IFERROR(MAXIFS('الوحدات'!L:L, 'الوحدات'!B:B, B23, 'الوحدات'!M:M, "متاحة"), "")</f>
        <v>2769000</v>
      </c>
      <c r="AJ23" s="32" t="str">
        <f t="shared" ref="AJ23:AK23" si="87">AH23&amp;"-"&amp;AF23</f>
        <v>2769000-2639000</v>
      </c>
      <c r="AK23" s="37" t="str">
        <f t="shared" si="87"/>
        <v>2769000-2639000</v>
      </c>
      <c r="AL23" s="33">
        <f>IFERROR(MINIFS('الوحدات'!K:K, 'الوحدات'!B:B, B23), "")</f>
        <v>132</v>
      </c>
      <c r="AM23" s="33">
        <f>IFERROR(MINIFS('الوحدات'!K:K, 'الوحدات'!B:B, B23, 'الوحدات'!M:M, "متاحة"), "")</f>
        <v>132</v>
      </c>
      <c r="AN23" s="33">
        <f>IFERROR(MAXIFS('الوحدات'!K:K, 'الوحدات'!B:B, B23), "")</f>
        <v>165</v>
      </c>
      <c r="AO23" s="33">
        <f>IFERROR(MAXIFS('الوحدات'!K:K, 'الوحدات'!B:B, B23, 'الوحدات'!M:M, "متاحة"), "")</f>
        <v>165</v>
      </c>
      <c r="AP23" s="32" t="str">
        <f t="shared" ref="AP23:AQ23" si="88">AN23&amp;"-"&amp;AL23</f>
        <v>165-132</v>
      </c>
      <c r="AQ23" s="32" t="str">
        <f t="shared" si="88"/>
        <v>165-132</v>
      </c>
      <c r="AR23" s="33">
        <f>IFERROR(MINIFS('الوحدات'!N:N, 'الوحدات'!B:B, B23), "")</f>
        <v>3</v>
      </c>
      <c r="AS23" s="33">
        <f>IFERROR(MINIFS('الوحدات'!N:N, 'الوحدات'!B:B, B23, 'الوحدات'!M:M, "متاحة"), "")</f>
        <v>3</v>
      </c>
      <c r="AT23" s="33">
        <f>IFERROR(MAXIFS('الوحدات'!N:N, 'الوحدات'!B:B, B23), "")</f>
        <v>4</v>
      </c>
      <c r="AU23" s="33">
        <f>IFERROR(MAXIFS('الوحدات'!N:N, 'الوحدات'!B:B, B23, 'الوحدات'!M:M, "متاحة"), "")</f>
        <v>4</v>
      </c>
      <c r="AV23" s="14" t="str">
        <f t="shared" ref="AV23:AW23" si="89">AT23&amp;"-"&amp;AR23</f>
        <v>4-3</v>
      </c>
      <c r="AW23" s="14" t="str">
        <f t="shared" si="89"/>
        <v>4-3</v>
      </c>
      <c r="AX23" s="33">
        <f>IFERROR(MINIFS('الوحدات'!O:O, 'الوحدات'!B:B, B23), "")</f>
        <v>4</v>
      </c>
      <c r="AY23" s="38">
        <f>IFERROR(MINIFS('الوحدات'!O:O, 'الوحدات'!B:B, B23, 'الوحدات'!M:M, "متاحة"), "")</f>
        <v>4</v>
      </c>
      <c r="AZ23" s="38">
        <f>IFERROR(MAXIFS('الوحدات'!O:O, 'الوحدات'!B:B, B23), "")</f>
        <v>5</v>
      </c>
      <c r="BA23" s="33">
        <f>IFERROR(MAXIFS('الوحدات'!O:O, 'الوحدات'!B:B, B23, 'الوحدات'!M:M, "متاحة"), "")</f>
        <v>5</v>
      </c>
      <c r="BB23" s="14" t="str">
        <f t="shared" ref="BB23:BC23" si="90">AZ23&amp;"-"&amp;AX23</f>
        <v>5-4</v>
      </c>
      <c r="BC23" s="14" t="str">
        <f t="shared" si="90"/>
        <v>5-4</v>
      </c>
    </row>
    <row r="24">
      <c r="A24" s="65">
        <v>23.0</v>
      </c>
      <c r="B24" s="14" t="s">
        <v>189</v>
      </c>
      <c r="C24" s="70" t="s">
        <v>118</v>
      </c>
      <c r="D24" s="14">
        <v>98.0</v>
      </c>
      <c r="E24" s="13" t="str">
        <f t="shared" si="58"/>
        <v>ألين - 98</v>
      </c>
      <c r="F24" s="26" t="str">
        <f>IF(COUNTIFS('الوحدات'!B:B,B24,'الوحدات'!M:M,"متاحة")&gt;0,"متاح",
IF(COUNTIFS('الوحدات'!B:B,B24,'الوحدات'!M:M,"&lt;&gt;")=0,
"",
IF(COUNTIFS('الوحدات'!B:B,B24,'الوحدات'!M:M,"تحت الإنشاء")=COUNTIFS('الوحدات'!B:B,B24,'الوحدات'!M:M,"&lt;&gt;"),
"تحت الإنشاء",
IF(COUNTIFS('الوحدات'!B:B,B24,'الوحدات'!M:M,"تحت الإنشاء")&gt;0,
"تحت الإنشاء جزئيا",
"مباعة"
))))
</f>
        <v>تحت الإنشاء</v>
      </c>
      <c r="G24" s="26" t="str">
        <f>IFERROR(__xludf.DUMMYFUNCTION("IF(SUMPRODUCT(('الوحدات'!B:B=B24)*REGEXMATCH(TRIM('الوحدات'!J:J),""^(تاون هاوس|دور|شقة|فيلا)$""))&gt;0,""سكني"","""")"),"سكني")</f>
        <v>سكني</v>
      </c>
      <c r="H24" s="26" t="str">
        <f>IFERROR(__xludf.DUMMYFUNCTION("TEXTJOIN(""-"", TRUE, UNIQUE(FILTER('الوحدات'!J:J, 'الوحدات'!B:B = B24)))
"),"دور")</f>
        <v>دور</v>
      </c>
      <c r="I24" s="51"/>
      <c r="J24" s="71" t="s">
        <v>190</v>
      </c>
      <c r="K24" s="67" t="s">
        <v>85</v>
      </c>
      <c r="L24" s="60" t="s">
        <v>86</v>
      </c>
      <c r="M24" s="60" t="s">
        <v>87</v>
      </c>
      <c r="N24" s="70" t="s">
        <v>159</v>
      </c>
      <c r="O24" s="72" t="s">
        <v>191</v>
      </c>
      <c r="P24" s="73"/>
      <c r="Q24" s="73"/>
      <c r="R24" s="73"/>
      <c r="S24" s="32">
        <f>COUNTIF('الوحدات'!B:B, B24)</f>
        <v>3</v>
      </c>
      <c r="T24" s="33">
        <f>COUNTIFS('الوحدات'!B:B, B24, 'الوحدات'!M:M, "متاحة")</f>
        <v>0</v>
      </c>
      <c r="U24" s="33">
        <f>COUNTIFS('الوحدات'!B:B, B24, 'الوحدات'!M:M, "تحت الإنشاء")</f>
        <v>3</v>
      </c>
      <c r="V24" s="33">
        <f>COUNTIFS('الوحدات'!B:B, B24, 'الوحدات'!M:M, "محجوزة")</f>
        <v>0</v>
      </c>
      <c r="W24" s="33">
        <f>COUNTIFS('الوحدات'!B:B, B24, 'الوحدات'!M:M, "مباعة")</f>
        <v>0</v>
      </c>
      <c r="X24" s="34">
        <f>IFERROR(AVERAGEIFS('الوحدات'!L:L, 'الوحدات'!B:B, B24), "")</f>
        <v>2632333.333</v>
      </c>
      <c r="Y24" s="35" t="str">
        <f>IFERROR(AVERAGEIFS('الوحدات'!L:L, 'الوحدات'!B:B, B24, 'الوحدات'!M:M, "متاحة"), "")</f>
        <v/>
      </c>
      <c r="Z24" s="34">
        <f>IFERROR(SUMIFS('الوحدات'!L:L, 'الوحدات'!B:B, B24), "")</f>
        <v>7897000</v>
      </c>
      <c r="AA24" s="36">
        <f t="shared" si="5"/>
        <v>0</v>
      </c>
      <c r="AB24" s="34">
        <f>IFERROR(SUMIFS('الوحدات'!L:L, 'الوحدات'!B:B, B24, 'الوحدات'!M:M, "تحت الإنشاء"), "")</f>
        <v>7897000</v>
      </c>
      <c r="AC24" s="34">
        <f>IFERROR(SUMIFS('الوحدات'!L:L, 'الوحدات'!B:B, B24, 'الوحدات'!M:M, "متاحة"), "")</f>
        <v>0</v>
      </c>
      <c r="AD24" s="34">
        <f>IFERROR(SUMIFS('الوحدات'!L:L, 'الوحدات'!B:B, B24, 'الوحدات'!M:M, "محجوزة"), "")</f>
        <v>0</v>
      </c>
      <c r="AE24" s="34">
        <f>IFERROR(SUMIFS('الوحدات'!L:L, 'الوحدات'!B:B, B24, 'الوحدات'!M:M, "مباعة"), "")</f>
        <v>0</v>
      </c>
      <c r="AF24" s="34">
        <f>IFERROR(MINIFS('الوحدات'!L:L, 'الوحدات'!B:B, B24), "")</f>
        <v>2499000</v>
      </c>
      <c r="AG24" s="34">
        <f>IFERROR(MINIFS('الوحدات'!L:L, 'الوحدات'!B:B, B24, 'الوحدات'!M:M, "متاحة"), "")</f>
        <v>0</v>
      </c>
      <c r="AH24" s="34">
        <f>IFERROR(MAXIFS('الوحدات'!L:L, 'الوحدات'!B:B, B24), "")</f>
        <v>2699000</v>
      </c>
      <c r="AI24" s="34">
        <f>IFERROR(MAXIFS('الوحدات'!L:L, 'الوحدات'!B:B, B24, 'الوحدات'!M:M, "متاحة"), "")</f>
        <v>0</v>
      </c>
      <c r="AJ24" s="32" t="str">
        <f t="shared" ref="AJ24:AK24" si="91">AH24&amp;"-"&amp;AF24</f>
        <v>2699000-2499000</v>
      </c>
      <c r="AK24" s="37" t="str">
        <f t="shared" si="91"/>
        <v>0-0</v>
      </c>
      <c r="AL24" s="33">
        <f>IFERROR(MINIFS('الوحدات'!K:K, 'الوحدات'!B:B, B24), "")</f>
        <v>237</v>
      </c>
      <c r="AM24" s="33">
        <f>IFERROR(MINIFS('الوحدات'!K:K, 'الوحدات'!B:B, B24, 'الوحدات'!M:M, "متاحة"), "")</f>
        <v>0</v>
      </c>
      <c r="AN24" s="33">
        <f>IFERROR(MAXIFS('الوحدات'!K:K, 'الوحدات'!B:B, B24), "")</f>
        <v>264</v>
      </c>
      <c r="AO24" s="33">
        <f>IFERROR(MAXIFS('الوحدات'!K:K, 'الوحدات'!B:B, B24, 'الوحدات'!M:M, "متاحة"), "")</f>
        <v>0</v>
      </c>
      <c r="AP24" s="32" t="str">
        <f t="shared" ref="AP24:AQ24" si="92">AN24&amp;"-"&amp;AL24</f>
        <v>264-237</v>
      </c>
      <c r="AQ24" s="32" t="str">
        <f t="shared" si="92"/>
        <v>0-0</v>
      </c>
      <c r="AR24" s="33">
        <f>IFERROR(MINIFS('الوحدات'!N:N, 'الوحدات'!B:B, B24), "")</f>
        <v>3</v>
      </c>
      <c r="AS24" s="33">
        <f>IFERROR(MINIFS('الوحدات'!N:N, 'الوحدات'!B:B, B24, 'الوحدات'!M:M, "متاحة"), "")</f>
        <v>0</v>
      </c>
      <c r="AT24" s="33">
        <f>IFERROR(MAXIFS('الوحدات'!N:N, 'الوحدات'!B:B, B24), "")</f>
        <v>3</v>
      </c>
      <c r="AU24" s="33">
        <f>IFERROR(MAXIFS('الوحدات'!N:N, 'الوحدات'!B:B, B24, 'الوحدات'!M:M, "متاحة"), "")</f>
        <v>0</v>
      </c>
      <c r="AV24" s="14" t="str">
        <f t="shared" ref="AV24:AW24" si="93">AT24&amp;"-"&amp;AR24</f>
        <v>3-3</v>
      </c>
      <c r="AW24" s="14" t="str">
        <f t="shared" si="93"/>
        <v>0-0</v>
      </c>
      <c r="AX24" s="33">
        <f>IFERROR(MINIFS('الوحدات'!O:O, 'الوحدات'!B:B, B24), "")</f>
        <v>4</v>
      </c>
      <c r="AY24" s="38">
        <f>IFERROR(MINIFS('الوحدات'!O:O, 'الوحدات'!B:B, B24, 'الوحدات'!M:M, "متاحة"), "")</f>
        <v>0</v>
      </c>
      <c r="AZ24" s="38">
        <f>IFERROR(MAXIFS('الوحدات'!O:O, 'الوحدات'!B:B, B24), "")</f>
        <v>5</v>
      </c>
      <c r="BA24" s="33">
        <f>IFERROR(MAXIFS('الوحدات'!O:O, 'الوحدات'!B:B, B24, 'الوحدات'!M:M, "متاحة"), "")</f>
        <v>0</v>
      </c>
      <c r="BB24" s="14" t="str">
        <f t="shared" ref="BB24:BC24" si="94">AZ24&amp;"-"&amp;AX24</f>
        <v>5-4</v>
      </c>
      <c r="BC24" s="14" t="str">
        <f t="shared" si="94"/>
        <v>0-0</v>
      </c>
    </row>
    <row r="25">
      <c r="A25" s="65">
        <v>24.0</v>
      </c>
      <c r="B25" s="14" t="s">
        <v>192</v>
      </c>
      <c r="C25" s="70" t="s">
        <v>118</v>
      </c>
      <c r="D25" s="14">
        <v>114.0</v>
      </c>
      <c r="E25" s="13" t="str">
        <f t="shared" si="58"/>
        <v>ألين - 114</v>
      </c>
      <c r="F25" s="26" t="str">
        <f>IF(COUNTIFS('الوحدات'!B:B,B25,'الوحدات'!M:M,"متاحة")&gt;0,"متاح",
IF(COUNTIFS('الوحدات'!B:B,B25,'الوحدات'!M:M,"&lt;&gt;")=0,
"",
IF(COUNTIFS('الوحدات'!B:B,B25,'الوحدات'!M:M,"تحت الإنشاء")=COUNTIFS('الوحدات'!B:B,B25,'الوحدات'!M:M,"&lt;&gt;"),
"تحت الإنشاء",
IF(COUNTIFS('الوحدات'!B:B,B25,'الوحدات'!M:M,"تحت الإنشاء")&gt;0,
"تحت الإنشاء جزئيا",
"مباعة"
))))
</f>
        <v>تحت الإنشاء</v>
      </c>
      <c r="G25" s="26" t="str">
        <f>IFERROR(__xludf.DUMMYFUNCTION("IF(SUMPRODUCT(('الوحدات'!B:B=B25)*REGEXMATCH(TRIM('الوحدات'!J:J),""^(تاون هاوس|دور|شقة|فيلا)$""))&gt;0,""سكني"","""")"),"سكني")</f>
        <v>سكني</v>
      </c>
      <c r="H25" s="26" t="str">
        <f>IFERROR(__xludf.DUMMYFUNCTION("TEXTJOIN(""-"", TRUE, UNIQUE(FILTER('الوحدات'!J:J, 'الوحدات'!B:B = B25)))
"),"دور")</f>
        <v>دور</v>
      </c>
      <c r="I25" s="51"/>
      <c r="J25" s="71" t="s">
        <v>193</v>
      </c>
      <c r="K25" s="67" t="s">
        <v>85</v>
      </c>
      <c r="L25" s="60" t="s">
        <v>86</v>
      </c>
      <c r="M25" s="60" t="s">
        <v>87</v>
      </c>
      <c r="N25" s="70" t="s">
        <v>159</v>
      </c>
      <c r="O25" s="72" t="s">
        <v>194</v>
      </c>
      <c r="P25" s="73"/>
      <c r="Q25" s="73"/>
      <c r="R25" s="73"/>
      <c r="S25" s="32">
        <f>COUNTIF('الوحدات'!B:B, B25)</f>
        <v>3</v>
      </c>
      <c r="T25" s="33">
        <f>COUNTIFS('الوحدات'!B:B, B25, 'الوحدات'!M:M, "متاحة")</f>
        <v>0</v>
      </c>
      <c r="U25" s="33">
        <f>COUNTIFS('الوحدات'!B:B, B25, 'الوحدات'!M:M, "تحت الإنشاء")</f>
        <v>3</v>
      </c>
      <c r="V25" s="33">
        <f>COUNTIFS('الوحدات'!B:B, B25, 'الوحدات'!M:M, "محجوزة")</f>
        <v>0</v>
      </c>
      <c r="W25" s="33">
        <f>COUNTIFS('الوحدات'!B:B, B25, 'الوحدات'!M:M, "مباعة")</f>
        <v>0</v>
      </c>
      <c r="X25" s="34">
        <f>IFERROR(AVERAGEIFS('الوحدات'!L:L, 'الوحدات'!B:B, B25), "")</f>
        <v>2269000</v>
      </c>
      <c r="Y25" s="35" t="str">
        <f>IFERROR(AVERAGEIFS('الوحدات'!L:L, 'الوحدات'!B:B, B25, 'الوحدات'!M:M, "متاحة"), "")</f>
        <v/>
      </c>
      <c r="Z25" s="34">
        <f>IFERROR(SUMIFS('الوحدات'!L:L, 'الوحدات'!B:B, B25), "")</f>
        <v>6807000</v>
      </c>
      <c r="AA25" s="36">
        <f t="shared" si="5"/>
        <v>0</v>
      </c>
      <c r="AB25" s="34">
        <f>IFERROR(SUMIFS('الوحدات'!L:L, 'الوحدات'!B:B, B25, 'الوحدات'!M:M, "تحت الإنشاء"), "")</f>
        <v>6807000</v>
      </c>
      <c r="AC25" s="34">
        <f>IFERROR(SUMIFS('الوحدات'!L:L, 'الوحدات'!B:B, B25, 'الوحدات'!M:M, "متاحة"), "")</f>
        <v>0</v>
      </c>
      <c r="AD25" s="34">
        <f>IFERROR(SUMIFS('الوحدات'!L:L, 'الوحدات'!B:B, B25, 'الوحدات'!M:M, "محجوزة"), "")</f>
        <v>0</v>
      </c>
      <c r="AE25" s="34">
        <f>IFERROR(SUMIFS('الوحدات'!L:L, 'الوحدات'!B:B, B25, 'الوحدات'!M:M, "مباعة"), "")</f>
        <v>0</v>
      </c>
      <c r="AF25" s="34">
        <f>IFERROR(MINIFS('الوحدات'!L:L, 'الوحدات'!B:B, B25), "")</f>
        <v>2259000</v>
      </c>
      <c r="AG25" s="34">
        <f>IFERROR(MINIFS('الوحدات'!L:L, 'الوحدات'!B:B, B25, 'الوحدات'!M:M, "متاحة"), "")</f>
        <v>0</v>
      </c>
      <c r="AH25" s="34">
        <f>IFERROR(MAXIFS('الوحدات'!L:L, 'الوحدات'!B:B, B25), "")</f>
        <v>2289000</v>
      </c>
      <c r="AI25" s="34">
        <f>IFERROR(MAXIFS('الوحدات'!L:L, 'الوحدات'!B:B, B25, 'الوحدات'!M:M, "متاحة"), "")</f>
        <v>0</v>
      </c>
      <c r="AJ25" s="32" t="str">
        <f t="shared" ref="AJ25:AK25" si="95">AH25&amp;"-"&amp;AF25</f>
        <v>2289000-2259000</v>
      </c>
      <c r="AK25" s="37" t="str">
        <f t="shared" si="95"/>
        <v>0-0</v>
      </c>
      <c r="AL25" s="33">
        <f>IFERROR(MINIFS('الوحدات'!K:K, 'الوحدات'!B:B, B25), "")</f>
        <v>177</v>
      </c>
      <c r="AM25" s="33">
        <f>IFERROR(MINIFS('الوحدات'!K:K, 'الوحدات'!B:B, B25, 'الوحدات'!M:M, "متاحة"), "")</f>
        <v>0</v>
      </c>
      <c r="AN25" s="33">
        <f>IFERROR(MAXIFS('الوحدات'!K:K, 'الوحدات'!B:B, B25), "")</f>
        <v>191</v>
      </c>
      <c r="AO25" s="33">
        <f>IFERROR(MAXIFS('الوحدات'!K:K, 'الوحدات'!B:B, B25, 'الوحدات'!M:M, "متاحة"), "")</f>
        <v>0</v>
      </c>
      <c r="AP25" s="32" t="str">
        <f t="shared" ref="AP25:AQ25" si="96">AN25&amp;"-"&amp;AL25</f>
        <v>191-177</v>
      </c>
      <c r="AQ25" s="32" t="str">
        <f t="shared" si="96"/>
        <v>0-0</v>
      </c>
      <c r="AR25" s="33">
        <f>IFERROR(MINIFS('الوحدات'!N:N, 'الوحدات'!B:B, B25), "")</f>
        <v>3</v>
      </c>
      <c r="AS25" s="33">
        <f>IFERROR(MINIFS('الوحدات'!N:N, 'الوحدات'!B:B, B25, 'الوحدات'!M:M, "متاحة"), "")</f>
        <v>0</v>
      </c>
      <c r="AT25" s="33">
        <f>IFERROR(MAXIFS('الوحدات'!N:N, 'الوحدات'!B:B, B25), "")</f>
        <v>3</v>
      </c>
      <c r="AU25" s="33">
        <f>IFERROR(MAXIFS('الوحدات'!N:N, 'الوحدات'!B:B, B25, 'الوحدات'!M:M, "متاحة"), "")</f>
        <v>0</v>
      </c>
      <c r="AV25" s="14" t="str">
        <f t="shared" ref="AV25:AW25" si="97">AT25&amp;"-"&amp;AR25</f>
        <v>3-3</v>
      </c>
      <c r="AW25" s="14" t="str">
        <f t="shared" si="97"/>
        <v>0-0</v>
      </c>
      <c r="AX25" s="33">
        <f>IFERROR(MINIFS('الوحدات'!O:O, 'الوحدات'!B:B, B25), "")</f>
        <v>3</v>
      </c>
      <c r="AY25" s="38">
        <f>IFERROR(MINIFS('الوحدات'!O:O, 'الوحدات'!B:B, B25, 'الوحدات'!M:M, "متاحة"), "")</f>
        <v>0</v>
      </c>
      <c r="AZ25" s="38">
        <f>IFERROR(MAXIFS('الوحدات'!O:O, 'الوحدات'!B:B, B25), "")</f>
        <v>3</v>
      </c>
      <c r="BA25" s="33">
        <f>IFERROR(MAXIFS('الوحدات'!O:O, 'الوحدات'!B:B, B25, 'الوحدات'!M:M, "متاحة"), "")</f>
        <v>0</v>
      </c>
      <c r="BB25" s="14" t="str">
        <f t="shared" ref="BB25:BC25" si="98">AZ25&amp;"-"&amp;AX25</f>
        <v>3-3</v>
      </c>
      <c r="BC25" s="14" t="str">
        <f t="shared" si="98"/>
        <v>0-0</v>
      </c>
    </row>
    <row r="26">
      <c r="A26" s="65">
        <v>25.0</v>
      </c>
      <c r="B26" s="14" t="s">
        <v>195</v>
      </c>
      <c r="C26" s="70" t="s">
        <v>118</v>
      </c>
      <c r="D26" s="14">
        <v>116.0</v>
      </c>
      <c r="E26" s="13" t="str">
        <f t="shared" si="58"/>
        <v>ألين - 116</v>
      </c>
      <c r="F26" s="26" t="str">
        <f>IF(COUNTIFS('الوحدات'!B:B,B26,'الوحدات'!M:M,"متاحة")&gt;0,"متاح",
IF(COUNTIFS('الوحدات'!B:B,B26,'الوحدات'!M:M,"&lt;&gt;")=0,
"",
IF(COUNTIFS('الوحدات'!B:B,B26,'الوحدات'!M:M,"تحت الإنشاء")=COUNTIFS('الوحدات'!B:B,B26,'الوحدات'!M:M,"&lt;&gt;"),
"تحت الإنشاء",
IF(COUNTIFS('الوحدات'!B:B,B26,'الوحدات'!M:M,"تحت الإنشاء")&gt;0,
"تحت الإنشاء جزئيا",
"مباعة"
))))
</f>
        <v>تحت الإنشاء</v>
      </c>
      <c r="G26" s="26" t="str">
        <f>IFERROR(__xludf.DUMMYFUNCTION("IF(SUMPRODUCT(('الوحدات'!B:B=B26)*REGEXMATCH(TRIM('الوحدات'!J:J),""^(تاون هاوس|دور|شقة|فيلا)$""))&gt;0,""سكني"","""")"),"سكني")</f>
        <v>سكني</v>
      </c>
      <c r="H26" s="26" t="str">
        <f>IFERROR(__xludf.DUMMYFUNCTION("TEXTJOIN(""-"", TRUE, UNIQUE(FILTER('الوحدات'!J:J, 'الوحدات'!B:B = B26)))
"),"دور")</f>
        <v>دور</v>
      </c>
      <c r="I26" s="51"/>
      <c r="J26" s="71" t="s">
        <v>196</v>
      </c>
      <c r="K26" s="67" t="s">
        <v>98</v>
      </c>
      <c r="L26" s="60" t="s">
        <v>86</v>
      </c>
      <c r="M26" s="60" t="s">
        <v>87</v>
      </c>
      <c r="N26" s="70" t="s">
        <v>197</v>
      </c>
      <c r="O26" s="72" t="s">
        <v>198</v>
      </c>
      <c r="P26" s="73"/>
      <c r="Q26" s="73"/>
      <c r="R26" s="73"/>
      <c r="S26" s="32">
        <f>COUNTIF('الوحدات'!B:B, B26)</f>
        <v>4</v>
      </c>
      <c r="T26" s="33">
        <f>COUNTIFS('الوحدات'!B:B, B26, 'الوحدات'!M:M, "متاحة")</f>
        <v>0</v>
      </c>
      <c r="U26" s="33">
        <f>COUNTIFS('الوحدات'!B:B, B26, 'الوحدات'!M:M, "تحت الإنشاء")</f>
        <v>4</v>
      </c>
      <c r="V26" s="33">
        <f>COUNTIFS('الوحدات'!B:B, B26, 'الوحدات'!M:M, "محجوزة")</f>
        <v>0</v>
      </c>
      <c r="W26" s="33">
        <f>COUNTIFS('الوحدات'!B:B, B26, 'الوحدات'!M:M, "مباعة")</f>
        <v>0</v>
      </c>
      <c r="X26" s="34">
        <f>IFERROR(AVERAGEIFS('الوحدات'!L:L, 'الوحدات'!B:B, B26), "")</f>
        <v>1424000</v>
      </c>
      <c r="Y26" s="35" t="str">
        <f>IFERROR(AVERAGEIFS('الوحدات'!L:L, 'الوحدات'!B:B, B26, 'الوحدات'!M:M, "متاحة"), "")</f>
        <v/>
      </c>
      <c r="Z26" s="34">
        <f>IFERROR(SUMIFS('الوحدات'!L:L, 'الوحدات'!B:B, B26), "")</f>
        <v>5696000</v>
      </c>
      <c r="AA26" s="36">
        <f t="shared" si="5"/>
        <v>0</v>
      </c>
      <c r="AB26" s="34">
        <f>IFERROR(SUMIFS('الوحدات'!L:L, 'الوحدات'!B:B, B26, 'الوحدات'!M:M, "تحت الإنشاء"), "")</f>
        <v>5696000</v>
      </c>
      <c r="AC26" s="34">
        <f>IFERROR(SUMIFS('الوحدات'!L:L, 'الوحدات'!B:B, B26, 'الوحدات'!M:M, "متاحة"), "")</f>
        <v>0</v>
      </c>
      <c r="AD26" s="34">
        <f>IFERROR(SUMIFS('الوحدات'!L:L, 'الوحدات'!B:B, B26, 'الوحدات'!M:M, "محجوزة"), "")</f>
        <v>0</v>
      </c>
      <c r="AE26" s="34">
        <f>IFERROR(SUMIFS('الوحدات'!L:L, 'الوحدات'!B:B, B26, 'الوحدات'!M:M, "مباعة"), "")</f>
        <v>0</v>
      </c>
      <c r="AF26" s="34">
        <f>IFERROR(MINIFS('الوحدات'!L:L, 'الوحدات'!B:B, B26), "")</f>
        <v>1349000</v>
      </c>
      <c r="AG26" s="34">
        <f>IFERROR(MINIFS('الوحدات'!L:L, 'الوحدات'!B:B, B26, 'الوحدات'!M:M, "متاحة"), "")</f>
        <v>0</v>
      </c>
      <c r="AH26" s="34">
        <f>IFERROR(MAXIFS('الوحدات'!L:L, 'الوحدات'!B:B, B26), "")</f>
        <v>1499000</v>
      </c>
      <c r="AI26" s="34">
        <f>IFERROR(MAXIFS('الوحدات'!L:L, 'الوحدات'!B:B, B26, 'الوحدات'!M:M, "متاحة"), "")</f>
        <v>0</v>
      </c>
      <c r="AJ26" s="32" t="str">
        <f t="shared" ref="AJ26:AK26" si="99">AH26&amp;"-"&amp;AF26</f>
        <v>1499000-1349000</v>
      </c>
      <c r="AK26" s="37" t="str">
        <f t="shared" si="99"/>
        <v>0-0</v>
      </c>
      <c r="AL26" s="33">
        <f>IFERROR(MINIFS('الوحدات'!K:K, 'الوحدات'!B:B, B26), "")</f>
        <v>170</v>
      </c>
      <c r="AM26" s="33">
        <f>IFERROR(MINIFS('الوحدات'!K:K, 'الوحدات'!B:B, B26, 'الوحدات'!M:M, "متاحة"), "")</f>
        <v>0</v>
      </c>
      <c r="AN26" s="33">
        <f>IFERROR(MAXIFS('الوحدات'!K:K, 'الوحدات'!B:B, B26), "")</f>
        <v>177</v>
      </c>
      <c r="AO26" s="33">
        <f>IFERROR(MAXIFS('الوحدات'!K:K, 'الوحدات'!B:B, B26, 'الوحدات'!M:M, "متاحة"), "")</f>
        <v>0</v>
      </c>
      <c r="AP26" s="32" t="str">
        <f t="shared" ref="AP26:AQ26" si="100">AN26&amp;"-"&amp;AL26</f>
        <v>177-170</v>
      </c>
      <c r="AQ26" s="32" t="str">
        <f t="shared" si="100"/>
        <v>0-0</v>
      </c>
      <c r="AR26" s="33">
        <f>IFERROR(MINIFS('الوحدات'!N:N, 'الوحدات'!B:B, B26), "")</f>
        <v>3</v>
      </c>
      <c r="AS26" s="33">
        <f>IFERROR(MINIFS('الوحدات'!N:N, 'الوحدات'!B:B, B26, 'الوحدات'!M:M, "متاحة"), "")</f>
        <v>0</v>
      </c>
      <c r="AT26" s="33">
        <f>IFERROR(MAXIFS('الوحدات'!N:N, 'الوحدات'!B:B, B26), "")</f>
        <v>3</v>
      </c>
      <c r="AU26" s="33">
        <f>IFERROR(MAXIFS('الوحدات'!N:N, 'الوحدات'!B:B, B26, 'الوحدات'!M:M, "متاحة"), "")</f>
        <v>0</v>
      </c>
      <c r="AV26" s="14" t="str">
        <f t="shared" ref="AV26:AW26" si="101">AT26&amp;"-"&amp;AR26</f>
        <v>3-3</v>
      </c>
      <c r="AW26" s="14" t="str">
        <f t="shared" si="101"/>
        <v>0-0</v>
      </c>
      <c r="AX26" s="33">
        <f>IFERROR(MINIFS('الوحدات'!O:O, 'الوحدات'!B:B, B26), "")</f>
        <v>3</v>
      </c>
      <c r="AY26" s="38">
        <f>IFERROR(MINIFS('الوحدات'!O:O, 'الوحدات'!B:B, B26, 'الوحدات'!M:M, "متاحة"), "")</f>
        <v>0</v>
      </c>
      <c r="AZ26" s="38">
        <f>IFERROR(MAXIFS('الوحدات'!O:O, 'الوحدات'!B:B, B26), "")</f>
        <v>3</v>
      </c>
      <c r="BA26" s="33">
        <f>IFERROR(MAXIFS('الوحدات'!O:O, 'الوحدات'!B:B, B26, 'الوحدات'!M:M, "متاحة"), "")</f>
        <v>0</v>
      </c>
      <c r="BB26" s="14" t="str">
        <f t="shared" ref="BB26:BC26" si="102">AZ26&amp;"-"&amp;AX26</f>
        <v>3-3</v>
      </c>
      <c r="BC26" s="14" t="str">
        <f t="shared" si="102"/>
        <v>0-0</v>
      </c>
    </row>
    <row r="27">
      <c r="A27" s="65">
        <v>26.0</v>
      </c>
      <c r="B27" s="14" t="s">
        <v>199</v>
      </c>
      <c r="C27" s="70" t="s">
        <v>118</v>
      </c>
      <c r="D27" s="14">
        <v>118.0</v>
      </c>
      <c r="E27" s="13" t="str">
        <f t="shared" si="58"/>
        <v>ألين - 118</v>
      </c>
      <c r="F27" s="26" t="str">
        <f>IF(COUNTIFS('الوحدات'!B:B,B27,'الوحدات'!M:M,"متاحة")&gt;0,"متاح",
IF(COUNTIFS('الوحدات'!B:B,B27,'الوحدات'!M:M,"&lt;&gt;")=0,
"",
IF(COUNTIFS('الوحدات'!B:B,B27,'الوحدات'!M:M,"تحت الإنشاء")=COUNTIFS('الوحدات'!B:B,B27,'الوحدات'!M:M,"&lt;&gt;"),
"تحت الإنشاء",
IF(COUNTIFS('الوحدات'!B:B,B27,'الوحدات'!M:M,"تحت الإنشاء")&gt;0,
"تحت الإنشاء جزئيا",
"مباعة"
))))
</f>
        <v>تحت الإنشاء</v>
      </c>
      <c r="G27" s="26" t="str">
        <f>IFERROR(__xludf.DUMMYFUNCTION("IF(SUMPRODUCT(('الوحدات'!B:B=B27)*REGEXMATCH(TRIM('الوحدات'!J:J),""^(تاون هاوس|دور|شقة|فيلا)$""))&gt;0,""سكني"","""")"),"سكني")</f>
        <v>سكني</v>
      </c>
      <c r="H27" s="26" t="str">
        <f>IFERROR(__xludf.DUMMYFUNCTION("TEXTJOIN(""-"", TRUE, UNIQUE(FILTER('الوحدات'!J:J, 'الوحدات'!B:B = B27)))
"),"دور")</f>
        <v>دور</v>
      </c>
      <c r="I27" s="51"/>
      <c r="J27" s="71" t="s">
        <v>196</v>
      </c>
      <c r="K27" s="67" t="s">
        <v>85</v>
      </c>
      <c r="L27" s="60" t="s">
        <v>86</v>
      </c>
      <c r="M27" s="60" t="s">
        <v>87</v>
      </c>
      <c r="N27" s="70" t="s">
        <v>132</v>
      </c>
      <c r="O27" s="72" t="s">
        <v>200</v>
      </c>
      <c r="P27" s="73"/>
      <c r="Q27" s="73"/>
      <c r="R27" s="73"/>
      <c r="S27" s="32">
        <f>COUNTIF('الوحدات'!B:B, B27)</f>
        <v>15</v>
      </c>
      <c r="T27" s="33">
        <f>COUNTIFS('الوحدات'!B:B, B27, 'الوحدات'!M:M, "متاحة")</f>
        <v>0</v>
      </c>
      <c r="U27" s="33">
        <f>COUNTIFS('الوحدات'!B:B, B27, 'الوحدات'!M:M, "تحت الإنشاء")</f>
        <v>15</v>
      </c>
      <c r="V27" s="33">
        <f>COUNTIFS('الوحدات'!B:B, B27, 'الوحدات'!M:M, "محجوزة")</f>
        <v>0</v>
      </c>
      <c r="W27" s="33">
        <f>COUNTIFS('الوحدات'!B:B, B27, 'الوحدات'!M:M, "مباعة")</f>
        <v>0</v>
      </c>
      <c r="X27" s="34">
        <f>IFERROR(AVERAGEIFS('الوحدات'!L:L, 'الوحدات'!B:B, B27), "")</f>
        <v>2255666.667</v>
      </c>
      <c r="Y27" s="35" t="str">
        <f>IFERROR(AVERAGEIFS('الوحدات'!L:L, 'الوحدات'!B:B, B27, 'الوحدات'!M:M, "متاحة"), "")</f>
        <v/>
      </c>
      <c r="Z27" s="34">
        <f>IFERROR(SUMIFS('الوحدات'!L:L, 'الوحدات'!B:B, B27), "")</f>
        <v>33835000</v>
      </c>
      <c r="AA27" s="36">
        <f t="shared" si="5"/>
        <v>0</v>
      </c>
      <c r="AB27" s="34">
        <f>IFERROR(SUMIFS('الوحدات'!L:L, 'الوحدات'!B:B, B27, 'الوحدات'!M:M, "تحت الإنشاء"), "")</f>
        <v>33835000</v>
      </c>
      <c r="AC27" s="34">
        <f>IFERROR(SUMIFS('الوحدات'!L:L, 'الوحدات'!B:B, B27, 'الوحدات'!M:M, "متاحة"), "")</f>
        <v>0</v>
      </c>
      <c r="AD27" s="34">
        <f>IFERROR(SUMIFS('الوحدات'!L:L, 'الوحدات'!B:B, B27, 'الوحدات'!M:M, "محجوزة"), "")</f>
        <v>0</v>
      </c>
      <c r="AE27" s="34">
        <f>IFERROR(SUMIFS('الوحدات'!L:L, 'الوحدات'!B:B, B27, 'الوحدات'!M:M, "مباعة"), "")</f>
        <v>0</v>
      </c>
      <c r="AF27" s="34">
        <f>IFERROR(MINIFS('الوحدات'!L:L, 'الوحدات'!B:B, B27), "")</f>
        <v>1799000</v>
      </c>
      <c r="AG27" s="34">
        <f>IFERROR(MINIFS('الوحدات'!L:L, 'الوحدات'!B:B, B27, 'الوحدات'!M:M, "متاحة"), "")</f>
        <v>0</v>
      </c>
      <c r="AH27" s="34">
        <f>IFERROR(MAXIFS('الوحدات'!L:L, 'الوحدات'!B:B, B27), "")</f>
        <v>2699000</v>
      </c>
      <c r="AI27" s="34">
        <f>IFERROR(MAXIFS('الوحدات'!L:L, 'الوحدات'!B:B, B27, 'الوحدات'!M:M, "متاحة"), "")</f>
        <v>0</v>
      </c>
      <c r="AJ27" s="32" t="str">
        <f t="shared" ref="AJ27:AK27" si="103">AH27&amp;"-"&amp;AF27</f>
        <v>2699000-1799000</v>
      </c>
      <c r="AK27" s="37" t="str">
        <f t="shared" si="103"/>
        <v>0-0</v>
      </c>
      <c r="AL27" s="33">
        <f>IFERROR(MINIFS('الوحدات'!K:K, 'الوحدات'!B:B, B27), "")</f>
        <v>104</v>
      </c>
      <c r="AM27" s="33">
        <f>IFERROR(MINIFS('الوحدات'!K:K, 'الوحدات'!B:B, B27, 'الوحدات'!M:M, "متاحة"), "")</f>
        <v>0</v>
      </c>
      <c r="AN27" s="33">
        <f>IFERROR(MAXIFS('الوحدات'!K:K, 'الوحدات'!B:B, B27), "")</f>
        <v>177</v>
      </c>
      <c r="AO27" s="33">
        <f>IFERROR(MAXIFS('الوحدات'!K:K, 'الوحدات'!B:B, B27, 'الوحدات'!M:M, "متاحة"), "")</f>
        <v>0</v>
      </c>
      <c r="AP27" s="32" t="str">
        <f t="shared" ref="AP27:AQ27" si="104">AN27&amp;"-"&amp;AL27</f>
        <v>177-104</v>
      </c>
      <c r="AQ27" s="32" t="str">
        <f t="shared" si="104"/>
        <v>0-0</v>
      </c>
      <c r="AR27" s="33">
        <f>IFERROR(MINIFS('الوحدات'!N:N, 'الوحدات'!B:B, B27), "")</f>
        <v>0</v>
      </c>
      <c r="AS27" s="33">
        <f>IFERROR(MINIFS('الوحدات'!N:N, 'الوحدات'!B:B, B27, 'الوحدات'!M:M, "متاحة"), "")</f>
        <v>0</v>
      </c>
      <c r="AT27" s="33">
        <f>IFERROR(MAXIFS('الوحدات'!N:N, 'الوحدات'!B:B, B27), "")</f>
        <v>0</v>
      </c>
      <c r="AU27" s="33">
        <f>IFERROR(MAXIFS('الوحدات'!N:N, 'الوحدات'!B:B, B27, 'الوحدات'!M:M, "متاحة"), "")</f>
        <v>0</v>
      </c>
      <c r="AV27" s="14" t="str">
        <f t="shared" ref="AV27:AW27" si="105">AT27&amp;"-"&amp;AR27</f>
        <v>0-0</v>
      </c>
      <c r="AW27" s="14" t="str">
        <f t="shared" si="105"/>
        <v>0-0</v>
      </c>
      <c r="AX27" s="33">
        <f>IFERROR(MINIFS('الوحدات'!O:O, 'الوحدات'!B:B, B27), "")</f>
        <v>0</v>
      </c>
      <c r="AY27" s="38">
        <f>IFERROR(MINIFS('الوحدات'!O:O, 'الوحدات'!B:B, B27, 'الوحدات'!M:M, "متاحة"), "")</f>
        <v>0</v>
      </c>
      <c r="AZ27" s="38">
        <f>IFERROR(MAXIFS('الوحدات'!O:O, 'الوحدات'!B:B, B27), "")</f>
        <v>0</v>
      </c>
      <c r="BA27" s="33">
        <f>IFERROR(MAXIFS('الوحدات'!O:O, 'الوحدات'!B:B, B27, 'الوحدات'!M:M, "متاحة"), "")</f>
        <v>0</v>
      </c>
      <c r="BB27" s="14" t="str">
        <f t="shared" ref="BB27:BC27" si="106">AZ27&amp;"-"&amp;AX27</f>
        <v>0-0</v>
      </c>
      <c r="BC27" s="14" t="str">
        <f t="shared" si="106"/>
        <v>0-0</v>
      </c>
    </row>
    <row r="28">
      <c r="A28" s="65">
        <v>27.0</v>
      </c>
      <c r="B28" s="14" t="s">
        <v>201</v>
      </c>
      <c r="C28" s="70" t="s">
        <v>118</v>
      </c>
      <c r="D28" s="14">
        <v>124.0</v>
      </c>
      <c r="E28" s="13" t="str">
        <f t="shared" si="58"/>
        <v>ألين - 124</v>
      </c>
      <c r="F28" s="26" t="str">
        <f>IF(COUNTIFS('الوحدات'!B:B,B28,'الوحدات'!M:M,"متاحة")&gt;0,"متاح",
IF(COUNTIFS('الوحدات'!B:B,B28,'الوحدات'!M:M,"&lt;&gt;")=0,
"",
IF(COUNTIFS('الوحدات'!B:B,B28,'الوحدات'!M:M,"تحت الإنشاء")=COUNTIFS('الوحدات'!B:B,B28,'الوحدات'!M:M,"&lt;&gt;"),
"تحت الإنشاء",
IF(COUNTIFS('الوحدات'!B:B,B28,'الوحدات'!M:M,"تحت الإنشاء")&gt;0,
"تحت الإنشاء جزئيا",
"مباعة"
))))
</f>
        <v>تحت الإنشاء</v>
      </c>
      <c r="G28" s="26" t="str">
        <f>IFERROR(__xludf.DUMMYFUNCTION("IF(SUMPRODUCT(('الوحدات'!B:B=B28)*REGEXMATCH(TRIM('الوحدات'!J:J),""^(تاون هاوس|دور|شقة|فيلا)$""))&gt;0,""سكني"","""")"),"سكني")</f>
        <v>سكني</v>
      </c>
      <c r="H28" s="26" t="str">
        <f>IFERROR(__xludf.DUMMYFUNCTION("TEXTJOIN(""-"", TRUE, UNIQUE(FILTER('الوحدات'!J:J, 'الوحدات'!B:B = B28)))
"),"دور")</f>
        <v>دور</v>
      </c>
      <c r="I28" s="51"/>
      <c r="J28" s="71" t="s">
        <v>202</v>
      </c>
      <c r="K28" s="67" t="s">
        <v>85</v>
      </c>
      <c r="L28" s="60" t="s">
        <v>86</v>
      </c>
      <c r="M28" s="60" t="s">
        <v>87</v>
      </c>
      <c r="N28" s="70" t="s">
        <v>203</v>
      </c>
      <c r="O28" s="72" t="s">
        <v>204</v>
      </c>
      <c r="P28" s="73"/>
      <c r="Q28" s="73"/>
      <c r="R28" s="73"/>
      <c r="S28" s="32">
        <f>COUNTIF('الوحدات'!B:B, B28)</f>
        <v>4</v>
      </c>
      <c r="T28" s="33">
        <f>COUNTIFS('الوحدات'!B:B, B28, 'الوحدات'!M:M, "متاحة")</f>
        <v>0</v>
      </c>
      <c r="U28" s="33">
        <f>COUNTIFS('الوحدات'!B:B, B28, 'الوحدات'!M:M, "تحت الإنشاء")</f>
        <v>4</v>
      </c>
      <c r="V28" s="33">
        <f>COUNTIFS('الوحدات'!B:B, B28, 'الوحدات'!M:M, "محجوزة")</f>
        <v>0</v>
      </c>
      <c r="W28" s="33">
        <f>COUNTIFS('الوحدات'!B:B, B28, 'الوحدات'!M:M, "مباعة")</f>
        <v>0</v>
      </c>
      <c r="X28" s="34">
        <f>IFERROR(AVERAGEIFS('الوحدات'!L:L, 'الوحدات'!B:B, B28), "")</f>
        <v>1936500</v>
      </c>
      <c r="Y28" s="35" t="str">
        <f>IFERROR(AVERAGEIFS('الوحدات'!L:L, 'الوحدات'!B:B, B28, 'الوحدات'!M:M, "متاحة"), "")</f>
        <v/>
      </c>
      <c r="Z28" s="34">
        <f>IFERROR(SUMIFS('الوحدات'!L:L, 'الوحدات'!B:B, B28), "")</f>
        <v>7746000</v>
      </c>
      <c r="AA28" s="36">
        <f t="shared" si="5"/>
        <v>0</v>
      </c>
      <c r="AB28" s="34">
        <f>IFERROR(SUMIFS('الوحدات'!L:L, 'الوحدات'!B:B, B28, 'الوحدات'!M:M, "تحت الإنشاء"), "")</f>
        <v>7746000</v>
      </c>
      <c r="AC28" s="34">
        <f>IFERROR(SUMIFS('الوحدات'!L:L, 'الوحدات'!B:B, B28, 'الوحدات'!M:M, "متاحة"), "")</f>
        <v>0</v>
      </c>
      <c r="AD28" s="34">
        <f>IFERROR(SUMIFS('الوحدات'!L:L, 'الوحدات'!B:B, B28, 'الوحدات'!M:M, "محجوزة"), "")</f>
        <v>0</v>
      </c>
      <c r="AE28" s="34">
        <f>IFERROR(SUMIFS('الوحدات'!L:L, 'الوحدات'!B:B, B28, 'الوحدات'!M:M, "مباعة"), "")</f>
        <v>0</v>
      </c>
      <c r="AF28" s="34">
        <f>IFERROR(MINIFS('الوحدات'!L:L, 'الوحدات'!B:B, B28), "")</f>
        <v>1749000</v>
      </c>
      <c r="AG28" s="34">
        <f>IFERROR(MINIFS('الوحدات'!L:L, 'الوحدات'!B:B, B28, 'الوحدات'!M:M, "متاحة"), "")</f>
        <v>0</v>
      </c>
      <c r="AH28" s="34">
        <f>IFERROR(MAXIFS('الوحدات'!L:L, 'الوحدات'!B:B, B28), "")</f>
        <v>1999000</v>
      </c>
      <c r="AI28" s="34">
        <f>IFERROR(MAXIFS('الوحدات'!L:L, 'الوحدات'!B:B, B28, 'الوحدات'!M:M, "متاحة"), "")</f>
        <v>0</v>
      </c>
      <c r="AJ28" s="32" t="str">
        <f t="shared" ref="AJ28:AK28" si="107">AH28&amp;"-"&amp;AF28</f>
        <v>1999000-1749000</v>
      </c>
      <c r="AK28" s="37" t="str">
        <f t="shared" si="107"/>
        <v>0-0</v>
      </c>
      <c r="AL28" s="33">
        <f>IFERROR(MINIFS('الوحدات'!K:K, 'الوحدات'!B:B, B28), "")</f>
        <v>149</v>
      </c>
      <c r="AM28" s="33">
        <f>IFERROR(MINIFS('الوحدات'!K:K, 'الوحدات'!B:B, B28, 'الوحدات'!M:M, "متاحة"), "")</f>
        <v>0</v>
      </c>
      <c r="AN28" s="33">
        <f>IFERROR(MAXIFS('الوحدات'!K:K, 'الوحدات'!B:B, B28), "")</f>
        <v>162</v>
      </c>
      <c r="AO28" s="33">
        <f>IFERROR(MAXIFS('الوحدات'!K:K, 'الوحدات'!B:B, B28, 'الوحدات'!M:M, "متاحة"), "")</f>
        <v>0</v>
      </c>
      <c r="AP28" s="32" t="str">
        <f t="shared" ref="AP28:AQ28" si="108">AN28&amp;"-"&amp;AL28</f>
        <v>162-149</v>
      </c>
      <c r="AQ28" s="32" t="str">
        <f t="shared" si="108"/>
        <v>0-0</v>
      </c>
      <c r="AR28" s="33">
        <f>IFERROR(MINIFS('الوحدات'!N:N, 'الوحدات'!B:B, B28), "")</f>
        <v>0</v>
      </c>
      <c r="AS28" s="33">
        <f>IFERROR(MINIFS('الوحدات'!N:N, 'الوحدات'!B:B, B28, 'الوحدات'!M:M, "متاحة"), "")</f>
        <v>0</v>
      </c>
      <c r="AT28" s="33">
        <f>IFERROR(MAXIFS('الوحدات'!N:N, 'الوحدات'!B:B, B28), "")</f>
        <v>0</v>
      </c>
      <c r="AU28" s="33">
        <f>IFERROR(MAXIFS('الوحدات'!N:N, 'الوحدات'!B:B, B28, 'الوحدات'!M:M, "متاحة"), "")</f>
        <v>0</v>
      </c>
      <c r="AV28" s="14" t="str">
        <f t="shared" ref="AV28:AW28" si="109">AT28&amp;"-"&amp;AR28</f>
        <v>0-0</v>
      </c>
      <c r="AW28" s="14" t="str">
        <f t="shared" si="109"/>
        <v>0-0</v>
      </c>
      <c r="AX28" s="33">
        <f>IFERROR(MINIFS('الوحدات'!O:O, 'الوحدات'!B:B, B28), "")</f>
        <v>0</v>
      </c>
      <c r="AY28" s="38">
        <f>IFERROR(MINIFS('الوحدات'!O:O, 'الوحدات'!B:B, B28, 'الوحدات'!M:M, "متاحة"), "")</f>
        <v>0</v>
      </c>
      <c r="AZ28" s="38">
        <f>IFERROR(MAXIFS('الوحدات'!O:O, 'الوحدات'!B:B, B28), "")</f>
        <v>0</v>
      </c>
      <c r="BA28" s="33">
        <f>IFERROR(MAXIFS('الوحدات'!O:O, 'الوحدات'!B:B, B28, 'الوحدات'!M:M, "متاحة"), "")</f>
        <v>0</v>
      </c>
      <c r="BB28" s="14" t="str">
        <f t="shared" ref="BB28:BC28" si="110">AZ28&amp;"-"&amp;AX28</f>
        <v>0-0</v>
      </c>
      <c r="BC28" s="14" t="str">
        <f t="shared" si="110"/>
        <v>0-0</v>
      </c>
    </row>
    <row r="29">
      <c r="A29" s="65">
        <v>28.0</v>
      </c>
      <c r="B29" s="14" t="s">
        <v>205</v>
      </c>
      <c r="C29" s="70" t="s">
        <v>118</v>
      </c>
      <c r="D29" s="14">
        <v>128.0</v>
      </c>
      <c r="E29" s="13" t="str">
        <f t="shared" si="58"/>
        <v>ألين - 128</v>
      </c>
      <c r="F29" s="26" t="str">
        <f>IF(COUNTIFS('الوحدات'!B:B,B29,'الوحدات'!M:M,"متاحة")&gt;0,"متاح",
IF(COUNTIFS('الوحدات'!B:B,B29,'الوحدات'!M:M,"&lt;&gt;")=0,
"",
IF(COUNTIFS('الوحدات'!B:B,B29,'الوحدات'!M:M,"تحت الإنشاء")=COUNTIFS('الوحدات'!B:B,B29,'الوحدات'!M:M,"&lt;&gt;"),
"تحت الإنشاء",
IF(COUNTIFS('الوحدات'!B:B,B29,'الوحدات'!M:M,"تحت الإنشاء")&gt;0,
"تحت الإنشاء جزئيا",
"مباعة"
))))
</f>
        <v>تحت الإنشاء</v>
      </c>
      <c r="G29" s="26" t="str">
        <f>IFERROR(__xludf.DUMMYFUNCTION("IF(SUMPRODUCT(('الوحدات'!B:B=B29)*REGEXMATCH(TRIM('الوحدات'!J:J),""^(تاون هاوس|دور|شقة|فيلا)$""))&gt;0,""سكني"","""")"),"سكني")</f>
        <v>سكني</v>
      </c>
      <c r="H29" s="26" t="str">
        <f>IFERROR(__xludf.DUMMYFUNCTION("TEXTJOIN(""-"", TRUE, UNIQUE(FILTER('الوحدات'!J:J, 'الوحدات'!B:B = B29)))
"),"دور")</f>
        <v>دور</v>
      </c>
      <c r="I29" s="51"/>
      <c r="J29" s="71" t="s">
        <v>206</v>
      </c>
      <c r="K29" s="67" t="s">
        <v>98</v>
      </c>
      <c r="L29" s="60" t="s">
        <v>86</v>
      </c>
      <c r="M29" s="60" t="s">
        <v>87</v>
      </c>
      <c r="N29" s="70" t="s">
        <v>207</v>
      </c>
      <c r="O29" s="72" t="s">
        <v>208</v>
      </c>
      <c r="P29" s="73"/>
      <c r="Q29" s="73"/>
      <c r="R29" s="73"/>
      <c r="S29" s="32">
        <f>COUNTIF('الوحدات'!B:B, B29)</f>
        <v>6</v>
      </c>
      <c r="T29" s="33">
        <f>COUNTIFS('الوحدات'!B:B, B29, 'الوحدات'!M:M, "متاحة")</f>
        <v>0</v>
      </c>
      <c r="U29" s="33">
        <f>COUNTIFS('الوحدات'!B:B, B29, 'الوحدات'!M:M, "تحت الإنشاء")</f>
        <v>6</v>
      </c>
      <c r="V29" s="33">
        <f>COUNTIFS('الوحدات'!B:B, B29, 'الوحدات'!M:M, "محجوزة")</f>
        <v>0</v>
      </c>
      <c r="W29" s="33">
        <f>COUNTIFS('الوحدات'!B:B, B29, 'الوحدات'!M:M, "مباعة")</f>
        <v>0</v>
      </c>
      <c r="X29" s="34">
        <f>IFERROR(AVERAGEIFS('الوحدات'!L:L, 'الوحدات'!B:B, B29), "")</f>
        <v>1399000</v>
      </c>
      <c r="Y29" s="35" t="str">
        <f>IFERROR(AVERAGEIFS('الوحدات'!L:L, 'الوحدات'!B:B, B29, 'الوحدات'!M:M, "متاحة"), "")</f>
        <v/>
      </c>
      <c r="Z29" s="34">
        <f>IFERROR(SUMIFS('الوحدات'!L:L, 'الوحدات'!B:B, B29), "")</f>
        <v>8394000</v>
      </c>
      <c r="AA29" s="36">
        <f t="shared" si="5"/>
        <v>0</v>
      </c>
      <c r="AB29" s="34">
        <f>IFERROR(SUMIFS('الوحدات'!L:L, 'الوحدات'!B:B, B29, 'الوحدات'!M:M, "تحت الإنشاء"), "")</f>
        <v>8394000</v>
      </c>
      <c r="AC29" s="34">
        <f>IFERROR(SUMIFS('الوحدات'!L:L, 'الوحدات'!B:B, B29, 'الوحدات'!M:M, "متاحة"), "")</f>
        <v>0</v>
      </c>
      <c r="AD29" s="34">
        <f>IFERROR(SUMIFS('الوحدات'!L:L, 'الوحدات'!B:B, B29, 'الوحدات'!M:M, "محجوزة"), "")</f>
        <v>0</v>
      </c>
      <c r="AE29" s="34">
        <f>IFERROR(SUMIFS('الوحدات'!L:L, 'الوحدات'!B:B, B29, 'الوحدات'!M:M, "مباعة"), "")</f>
        <v>0</v>
      </c>
      <c r="AF29" s="34">
        <f>IFERROR(MINIFS('الوحدات'!L:L, 'الوحدات'!B:B, B29), "")</f>
        <v>999000</v>
      </c>
      <c r="AG29" s="34">
        <f>IFERROR(MINIFS('الوحدات'!L:L, 'الوحدات'!B:B, B29, 'الوحدات'!M:M, "متاحة"), "")</f>
        <v>0</v>
      </c>
      <c r="AH29" s="34">
        <f>IFERROR(MAXIFS('الوحدات'!L:L, 'الوحدات'!B:B, B29), "")</f>
        <v>1699000</v>
      </c>
      <c r="AI29" s="34">
        <f>IFERROR(MAXIFS('الوحدات'!L:L, 'الوحدات'!B:B, B29, 'الوحدات'!M:M, "متاحة"), "")</f>
        <v>0</v>
      </c>
      <c r="AJ29" s="32" t="str">
        <f t="shared" ref="AJ29:AK29" si="111">AH29&amp;"-"&amp;AF29</f>
        <v>1699000-999000</v>
      </c>
      <c r="AK29" s="37" t="str">
        <f t="shared" si="111"/>
        <v>0-0</v>
      </c>
      <c r="AL29" s="33">
        <f>IFERROR(MINIFS('الوحدات'!K:K, 'الوحدات'!B:B, B29), "")</f>
        <v>77</v>
      </c>
      <c r="AM29" s="33">
        <f>IFERROR(MINIFS('الوحدات'!K:K, 'الوحدات'!B:B, B29, 'الوحدات'!M:M, "متاحة"), "")</f>
        <v>0</v>
      </c>
      <c r="AN29" s="33">
        <f>IFERROR(MAXIFS('الوحدات'!K:K, 'الوحدات'!B:B, B29), "")</f>
        <v>166</v>
      </c>
      <c r="AO29" s="33">
        <f>IFERROR(MAXIFS('الوحدات'!K:K, 'الوحدات'!B:B, B29, 'الوحدات'!M:M, "متاحة"), "")</f>
        <v>0</v>
      </c>
      <c r="AP29" s="32" t="str">
        <f t="shared" ref="AP29:AQ29" si="112">AN29&amp;"-"&amp;AL29</f>
        <v>166-77</v>
      </c>
      <c r="AQ29" s="32" t="str">
        <f t="shared" si="112"/>
        <v>0-0</v>
      </c>
      <c r="AR29" s="33">
        <f>IFERROR(MINIFS('الوحدات'!N:N, 'الوحدات'!B:B, B29), "")</f>
        <v>3</v>
      </c>
      <c r="AS29" s="33">
        <f>IFERROR(MINIFS('الوحدات'!N:N, 'الوحدات'!B:B, B29, 'الوحدات'!M:M, "متاحة"), "")</f>
        <v>0</v>
      </c>
      <c r="AT29" s="33">
        <f>IFERROR(MAXIFS('الوحدات'!N:N, 'الوحدات'!B:B, B29), "")</f>
        <v>3</v>
      </c>
      <c r="AU29" s="33">
        <f>IFERROR(MAXIFS('الوحدات'!N:N, 'الوحدات'!B:B, B29, 'الوحدات'!M:M, "متاحة"), "")</f>
        <v>0</v>
      </c>
      <c r="AV29" s="14" t="str">
        <f t="shared" ref="AV29:AW29" si="113">AT29&amp;"-"&amp;AR29</f>
        <v>3-3</v>
      </c>
      <c r="AW29" s="14" t="str">
        <f t="shared" si="113"/>
        <v>0-0</v>
      </c>
      <c r="AX29" s="33">
        <f>IFERROR(MINIFS('الوحدات'!O:O, 'الوحدات'!B:B, B29), "")</f>
        <v>3</v>
      </c>
      <c r="AY29" s="38">
        <f>IFERROR(MINIFS('الوحدات'!O:O, 'الوحدات'!B:B, B29, 'الوحدات'!M:M, "متاحة"), "")</f>
        <v>0</v>
      </c>
      <c r="AZ29" s="38">
        <f>IFERROR(MAXIFS('الوحدات'!O:O, 'الوحدات'!B:B, B29), "")</f>
        <v>3</v>
      </c>
      <c r="BA29" s="33">
        <f>IFERROR(MAXIFS('الوحدات'!O:O, 'الوحدات'!B:B, B29, 'الوحدات'!M:M, "متاحة"), "")</f>
        <v>0</v>
      </c>
      <c r="BB29" s="14" t="str">
        <f t="shared" ref="BB29:BC29" si="114">AZ29&amp;"-"&amp;AX29</f>
        <v>3-3</v>
      </c>
      <c r="BC29" s="14" t="str">
        <f t="shared" si="114"/>
        <v>0-0</v>
      </c>
    </row>
    <row r="30">
      <c r="A30" s="65">
        <v>29.0</v>
      </c>
      <c r="B30" s="14" t="s">
        <v>209</v>
      </c>
      <c r="C30" s="70" t="s">
        <v>118</v>
      </c>
      <c r="D30" s="14">
        <v>132.0</v>
      </c>
      <c r="E30" s="13" t="str">
        <f t="shared" si="58"/>
        <v>ألين - 132</v>
      </c>
      <c r="F30" s="26" t="str">
        <f>IF(COUNTIFS('الوحدات'!B:B,B30,'الوحدات'!M:M,"متاحة")&gt;0,"متاح",
IF(COUNTIFS('الوحدات'!B:B,B30,'الوحدات'!M:M,"&lt;&gt;")=0,
"",
IF(COUNTIFS('الوحدات'!B:B,B30,'الوحدات'!M:M,"تحت الإنشاء")=COUNTIFS('الوحدات'!B:B,B30,'الوحدات'!M:M,"&lt;&gt;"),
"تحت الإنشاء",
IF(COUNTIFS('الوحدات'!B:B,B30,'الوحدات'!M:M,"تحت الإنشاء")&gt;0,
"تحت الإنشاء جزئيا",
"مباعة"
))))
</f>
        <v>تحت الإنشاء</v>
      </c>
      <c r="G30" s="26" t="str">
        <f>IFERROR(__xludf.DUMMYFUNCTION("IF(SUMPRODUCT(('الوحدات'!B:B=B30)*REGEXMATCH(TRIM('الوحدات'!J:J),""^(تاون هاوس|دور|شقة|فيلا)$""))&gt;0,""سكني"","""")"),"سكني")</f>
        <v>سكني</v>
      </c>
      <c r="H30" s="26" t="str">
        <f>IFERROR(__xludf.DUMMYFUNCTION("TEXTJOIN(""-"", TRUE, UNIQUE(FILTER('الوحدات'!J:J, 'الوحدات'!B:B = B30)))
"),"دور")</f>
        <v>دور</v>
      </c>
      <c r="I30" s="51"/>
      <c r="J30" s="71" t="s">
        <v>210</v>
      </c>
      <c r="K30" s="67" t="s">
        <v>85</v>
      </c>
      <c r="L30" s="60" t="s">
        <v>86</v>
      </c>
      <c r="M30" s="60" t="s">
        <v>87</v>
      </c>
      <c r="N30" s="70" t="s">
        <v>180</v>
      </c>
      <c r="O30" s="72" t="s">
        <v>211</v>
      </c>
      <c r="P30" s="73"/>
      <c r="Q30" s="73"/>
      <c r="R30" s="73"/>
      <c r="S30" s="32">
        <f>COUNTIF('الوحدات'!B:B, B30)</f>
        <v>15</v>
      </c>
      <c r="T30" s="33">
        <f>COUNTIFS('الوحدات'!B:B, B30, 'الوحدات'!M:M, "متاحة")</f>
        <v>0</v>
      </c>
      <c r="U30" s="33">
        <f>COUNTIFS('الوحدات'!B:B, B30, 'الوحدات'!M:M, "تحت الإنشاء")</f>
        <v>15</v>
      </c>
      <c r="V30" s="33">
        <f>COUNTIFS('الوحدات'!B:B, B30, 'الوحدات'!M:M, "محجوزة")</f>
        <v>0</v>
      </c>
      <c r="W30" s="33">
        <f>COUNTIFS('الوحدات'!B:B, B30, 'الوحدات'!M:M, "مباعة")</f>
        <v>0</v>
      </c>
      <c r="X30" s="34">
        <f>IFERROR(AVERAGEIFS('الوحدات'!L:L, 'الوحدات'!B:B, B30), "")</f>
        <v>2465666.667</v>
      </c>
      <c r="Y30" s="35" t="str">
        <f>IFERROR(AVERAGEIFS('الوحدات'!L:L, 'الوحدات'!B:B, B30, 'الوحدات'!M:M, "متاحة"), "")</f>
        <v/>
      </c>
      <c r="Z30" s="34">
        <f>IFERROR(SUMIFS('الوحدات'!L:L, 'الوحدات'!B:B, B30), "")</f>
        <v>36985000</v>
      </c>
      <c r="AA30" s="36">
        <f t="shared" si="5"/>
        <v>0</v>
      </c>
      <c r="AB30" s="34">
        <f>IFERROR(SUMIFS('الوحدات'!L:L, 'الوحدات'!B:B, B30, 'الوحدات'!M:M, "تحت الإنشاء"), "")</f>
        <v>36985000</v>
      </c>
      <c r="AC30" s="34">
        <f>IFERROR(SUMIFS('الوحدات'!L:L, 'الوحدات'!B:B, B30, 'الوحدات'!M:M, "متاحة"), "")</f>
        <v>0</v>
      </c>
      <c r="AD30" s="34">
        <f>IFERROR(SUMIFS('الوحدات'!L:L, 'الوحدات'!B:B, B30, 'الوحدات'!M:M, "محجوزة"), "")</f>
        <v>0</v>
      </c>
      <c r="AE30" s="34">
        <f>IFERROR(SUMIFS('الوحدات'!L:L, 'الوحدات'!B:B, B30, 'الوحدات'!M:M, "مباعة"), "")</f>
        <v>0</v>
      </c>
      <c r="AF30" s="34">
        <f>IFERROR(MINIFS('الوحدات'!L:L, 'الوحدات'!B:B, B30), "")</f>
        <v>1999000</v>
      </c>
      <c r="AG30" s="34">
        <f>IFERROR(MINIFS('الوحدات'!L:L, 'الوحدات'!B:B, B30, 'الوحدات'!M:M, "متاحة"), "")</f>
        <v>0</v>
      </c>
      <c r="AH30" s="34">
        <f>IFERROR(MAXIFS('الوحدات'!L:L, 'الوحدات'!B:B, B30), "")</f>
        <v>2899000</v>
      </c>
      <c r="AI30" s="34">
        <f>IFERROR(MAXIFS('الوحدات'!L:L, 'الوحدات'!B:B, B30, 'الوحدات'!M:M, "متاحة"), "")</f>
        <v>0</v>
      </c>
      <c r="AJ30" s="32" t="str">
        <f t="shared" ref="AJ30:AK30" si="115">AH30&amp;"-"&amp;AF30</f>
        <v>2899000-1999000</v>
      </c>
      <c r="AK30" s="37" t="str">
        <f t="shared" si="115"/>
        <v>0-0</v>
      </c>
      <c r="AL30" s="33">
        <f>IFERROR(MINIFS('الوحدات'!K:K, 'الوحدات'!B:B, B30), "")</f>
        <v>73</v>
      </c>
      <c r="AM30" s="33">
        <f>IFERROR(MINIFS('الوحدات'!K:K, 'الوحدات'!B:B, B30, 'الوحدات'!M:M, "متاحة"), "")</f>
        <v>0</v>
      </c>
      <c r="AN30" s="33">
        <f>IFERROR(MAXIFS('الوحدات'!K:K, 'الوحدات'!B:B, B30), "")</f>
        <v>165</v>
      </c>
      <c r="AO30" s="33">
        <f>IFERROR(MAXIFS('الوحدات'!K:K, 'الوحدات'!B:B, B30, 'الوحدات'!M:M, "متاحة"), "")</f>
        <v>0</v>
      </c>
      <c r="AP30" s="32" t="str">
        <f t="shared" ref="AP30:AQ30" si="116">AN30&amp;"-"&amp;AL30</f>
        <v>165-73</v>
      </c>
      <c r="AQ30" s="32" t="str">
        <f t="shared" si="116"/>
        <v>0-0</v>
      </c>
      <c r="AR30" s="33">
        <f>IFERROR(MINIFS('الوحدات'!N:N, 'الوحدات'!B:B, B30), "")</f>
        <v>0</v>
      </c>
      <c r="AS30" s="33">
        <f>IFERROR(MINIFS('الوحدات'!N:N, 'الوحدات'!B:B, B30, 'الوحدات'!M:M, "متاحة"), "")</f>
        <v>0</v>
      </c>
      <c r="AT30" s="33">
        <f>IFERROR(MAXIFS('الوحدات'!N:N, 'الوحدات'!B:B, B30), "")</f>
        <v>0</v>
      </c>
      <c r="AU30" s="33">
        <f>IFERROR(MAXIFS('الوحدات'!N:N, 'الوحدات'!B:B, B30, 'الوحدات'!M:M, "متاحة"), "")</f>
        <v>0</v>
      </c>
      <c r="AV30" s="14" t="str">
        <f t="shared" ref="AV30:AW30" si="117">AT30&amp;"-"&amp;AR30</f>
        <v>0-0</v>
      </c>
      <c r="AW30" s="14" t="str">
        <f t="shared" si="117"/>
        <v>0-0</v>
      </c>
      <c r="AX30" s="33">
        <f>IFERROR(MINIFS('الوحدات'!O:O, 'الوحدات'!B:B, B30), "")</f>
        <v>0</v>
      </c>
      <c r="AY30" s="38">
        <f>IFERROR(MINIFS('الوحدات'!O:O, 'الوحدات'!B:B, B30, 'الوحدات'!M:M, "متاحة"), "")</f>
        <v>0</v>
      </c>
      <c r="AZ30" s="38">
        <f>IFERROR(MAXIFS('الوحدات'!O:O, 'الوحدات'!B:B, B30), "")</f>
        <v>0</v>
      </c>
      <c r="BA30" s="33">
        <f>IFERROR(MAXIFS('الوحدات'!O:O, 'الوحدات'!B:B, B30, 'الوحدات'!M:M, "متاحة"), "")</f>
        <v>0</v>
      </c>
      <c r="BB30" s="14" t="str">
        <f t="shared" ref="BB30:BC30" si="118">AZ30&amp;"-"&amp;AX30</f>
        <v>0-0</v>
      </c>
      <c r="BC30" s="14" t="str">
        <f t="shared" si="118"/>
        <v>0-0</v>
      </c>
    </row>
    <row r="31">
      <c r="A31" s="65">
        <v>30.0</v>
      </c>
      <c r="B31" s="14" t="s">
        <v>212</v>
      </c>
      <c r="C31" s="70" t="s">
        <v>118</v>
      </c>
      <c r="D31" s="14">
        <v>136.0</v>
      </c>
      <c r="E31" s="13" t="str">
        <f t="shared" si="58"/>
        <v>ألين - 136</v>
      </c>
      <c r="F31" s="26" t="str">
        <f>IF(COUNTIFS('الوحدات'!B:B,B31,'الوحدات'!M:M,"متاحة")&gt;0,"متاح",
IF(COUNTIFS('الوحدات'!B:B,B31,'الوحدات'!M:M,"&lt;&gt;")=0,
"",
IF(COUNTIFS('الوحدات'!B:B,B31,'الوحدات'!M:M,"تحت الإنشاء")=COUNTIFS('الوحدات'!B:B,B31,'الوحدات'!M:M,"&lt;&gt;"),
"تحت الإنشاء",
IF(COUNTIFS('الوحدات'!B:B,B31,'الوحدات'!M:M,"تحت الإنشاء")&gt;0,
"تحت الإنشاء جزئيا",
"مباعة"
))))
</f>
        <v>تحت الإنشاء</v>
      </c>
      <c r="G31" s="26" t="str">
        <f>IFERROR(__xludf.DUMMYFUNCTION("IF(SUMPRODUCT(('الوحدات'!B:B=B31)*REGEXMATCH(TRIM('الوحدات'!J:J),""^(تاون هاوس|دور|شقة|فيلا)$""))&gt;0,""سكني"","""")"),"سكني")</f>
        <v>سكني</v>
      </c>
      <c r="H31" s="26" t="str">
        <f>IFERROR(__xludf.DUMMYFUNCTION("TEXTJOIN(""-"", TRUE, UNIQUE(FILTER('الوحدات'!J:J, 'الوحدات'!B:B = B31)))
"),"دور")</f>
        <v>دور</v>
      </c>
      <c r="I31" s="51"/>
      <c r="J31" s="71" t="s">
        <v>213</v>
      </c>
      <c r="K31" s="67" t="s">
        <v>98</v>
      </c>
      <c r="L31" s="60" t="s">
        <v>86</v>
      </c>
      <c r="M31" s="60" t="s">
        <v>87</v>
      </c>
      <c r="N31" s="70" t="s">
        <v>214</v>
      </c>
      <c r="O31" s="72" t="s">
        <v>215</v>
      </c>
      <c r="P31" s="73"/>
      <c r="Q31" s="73"/>
      <c r="R31" s="73"/>
      <c r="S31" s="32">
        <f>COUNTIF('الوحدات'!B:B, B31)</f>
        <v>12</v>
      </c>
      <c r="T31" s="33">
        <f>COUNTIFS('الوحدات'!B:B, B31, 'الوحدات'!M:M, "متاحة")</f>
        <v>0</v>
      </c>
      <c r="U31" s="33">
        <f>COUNTIFS('الوحدات'!B:B, B31, 'الوحدات'!M:M, "تحت الإنشاء")</f>
        <v>12</v>
      </c>
      <c r="V31" s="33">
        <f>COUNTIFS('الوحدات'!B:B, B31, 'الوحدات'!M:M, "محجوزة")</f>
        <v>0</v>
      </c>
      <c r="W31" s="33">
        <f>COUNTIFS('الوحدات'!B:B, B31, 'الوحدات'!M:M, "مباعة")</f>
        <v>0</v>
      </c>
      <c r="X31" s="34">
        <f>IFERROR(AVERAGEIFS('الوحدات'!L:L, 'الوحدات'!B:B, B31), "")</f>
        <v>1399000</v>
      </c>
      <c r="Y31" s="35" t="str">
        <f>IFERROR(AVERAGEIFS('الوحدات'!L:L, 'الوحدات'!B:B, B31, 'الوحدات'!M:M, "متاحة"), "")</f>
        <v/>
      </c>
      <c r="Z31" s="34">
        <f>IFERROR(SUMIFS('الوحدات'!L:L, 'الوحدات'!B:B, B31), "")</f>
        <v>16788000</v>
      </c>
      <c r="AA31" s="36">
        <f t="shared" si="5"/>
        <v>0</v>
      </c>
      <c r="AB31" s="34">
        <f>IFERROR(SUMIFS('الوحدات'!L:L, 'الوحدات'!B:B, B31, 'الوحدات'!M:M, "تحت الإنشاء"), "")</f>
        <v>16788000</v>
      </c>
      <c r="AC31" s="34">
        <f>IFERROR(SUMIFS('الوحدات'!L:L, 'الوحدات'!B:B, B31, 'الوحدات'!M:M, "متاحة"), "")</f>
        <v>0</v>
      </c>
      <c r="AD31" s="34">
        <f>IFERROR(SUMIFS('الوحدات'!L:L, 'الوحدات'!B:B, B31, 'الوحدات'!M:M, "محجوزة"), "")</f>
        <v>0</v>
      </c>
      <c r="AE31" s="34">
        <f>IFERROR(SUMIFS('الوحدات'!L:L, 'الوحدات'!B:B, B31, 'الوحدات'!M:M, "مباعة"), "")</f>
        <v>0</v>
      </c>
      <c r="AF31" s="34">
        <f>IFERROR(MINIFS('الوحدات'!L:L, 'الوحدات'!B:B, B31), "")</f>
        <v>999000</v>
      </c>
      <c r="AG31" s="34">
        <f>IFERROR(MINIFS('الوحدات'!L:L, 'الوحدات'!B:B, B31, 'الوحدات'!M:M, "متاحة"), "")</f>
        <v>0</v>
      </c>
      <c r="AH31" s="34">
        <f>IFERROR(MAXIFS('الوحدات'!L:L, 'الوحدات'!B:B, B31), "")</f>
        <v>1699000</v>
      </c>
      <c r="AI31" s="34">
        <f>IFERROR(MAXIFS('الوحدات'!L:L, 'الوحدات'!B:B, B31, 'الوحدات'!M:M, "متاحة"), "")</f>
        <v>0</v>
      </c>
      <c r="AJ31" s="32" t="str">
        <f t="shared" ref="AJ31:AK31" si="119">AH31&amp;"-"&amp;AF31</f>
        <v>1699000-999000</v>
      </c>
      <c r="AK31" s="37" t="str">
        <f t="shared" si="119"/>
        <v>0-0</v>
      </c>
      <c r="AL31" s="33">
        <f>IFERROR(MINIFS('الوحدات'!K:K, 'الوحدات'!B:B, B31), "")</f>
        <v>74</v>
      </c>
      <c r="AM31" s="33">
        <f>IFERROR(MINIFS('الوحدات'!K:K, 'الوحدات'!B:B, B31, 'الوحدات'!M:M, "متاحة"), "")</f>
        <v>0</v>
      </c>
      <c r="AN31" s="33">
        <f>IFERROR(MAXIFS('الوحدات'!K:K, 'الوحدات'!B:B, B31), "")</f>
        <v>164</v>
      </c>
      <c r="AO31" s="33">
        <f>IFERROR(MAXIFS('الوحدات'!K:K, 'الوحدات'!B:B, B31, 'الوحدات'!M:M, "متاحة"), "")</f>
        <v>0</v>
      </c>
      <c r="AP31" s="32" t="str">
        <f t="shared" ref="AP31:AQ31" si="120">AN31&amp;"-"&amp;AL31</f>
        <v>164-74</v>
      </c>
      <c r="AQ31" s="32" t="str">
        <f t="shared" si="120"/>
        <v>0-0</v>
      </c>
      <c r="AR31" s="33">
        <f>IFERROR(MINIFS('الوحدات'!N:N, 'الوحدات'!B:B, B31), "")</f>
        <v>3</v>
      </c>
      <c r="AS31" s="33">
        <f>IFERROR(MINIFS('الوحدات'!N:N, 'الوحدات'!B:B, B31, 'الوحدات'!M:M, "متاحة"), "")</f>
        <v>0</v>
      </c>
      <c r="AT31" s="33">
        <f>IFERROR(MAXIFS('الوحدات'!N:N, 'الوحدات'!B:B, B31), "")</f>
        <v>3</v>
      </c>
      <c r="AU31" s="33">
        <f>IFERROR(MAXIFS('الوحدات'!N:N, 'الوحدات'!B:B, B31, 'الوحدات'!M:M, "متاحة"), "")</f>
        <v>0</v>
      </c>
      <c r="AV31" s="14" t="str">
        <f t="shared" ref="AV31:AW31" si="121">AT31&amp;"-"&amp;AR31</f>
        <v>3-3</v>
      </c>
      <c r="AW31" s="14" t="str">
        <f t="shared" si="121"/>
        <v>0-0</v>
      </c>
      <c r="AX31" s="33">
        <f>IFERROR(MINIFS('الوحدات'!O:O, 'الوحدات'!B:B, B31), "")</f>
        <v>3</v>
      </c>
      <c r="AY31" s="38">
        <f>IFERROR(MINIFS('الوحدات'!O:O, 'الوحدات'!B:B, B31, 'الوحدات'!M:M, "متاحة"), "")</f>
        <v>0</v>
      </c>
      <c r="AZ31" s="38">
        <f>IFERROR(MAXIFS('الوحدات'!O:O, 'الوحدات'!B:B, B31), "")</f>
        <v>3</v>
      </c>
      <c r="BA31" s="33">
        <f>IFERROR(MAXIFS('الوحدات'!O:O, 'الوحدات'!B:B, B31, 'الوحدات'!M:M, "متاحة"), "")</f>
        <v>0</v>
      </c>
      <c r="BB31" s="14" t="str">
        <f t="shared" ref="BB31:BC31" si="122">AZ31&amp;"-"&amp;AX31</f>
        <v>3-3</v>
      </c>
      <c r="BC31" s="14" t="str">
        <f t="shared" si="122"/>
        <v>0-0</v>
      </c>
    </row>
    <row r="32">
      <c r="A32" s="65">
        <v>31.0</v>
      </c>
      <c r="B32" s="14" t="s">
        <v>216</v>
      </c>
      <c r="C32" s="70" t="s">
        <v>118</v>
      </c>
      <c r="D32" s="14">
        <v>140.0</v>
      </c>
      <c r="E32" s="13" t="str">
        <f t="shared" si="58"/>
        <v>ألين - 140</v>
      </c>
      <c r="F32" s="26" t="str">
        <f>IF(COUNTIFS('الوحدات'!B:B,B32,'الوحدات'!M:M,"متاحة")&gt;0,"متاح",
IF(COUNTIFS('الوحدات'!B:B,B32,'الوحدات'!M:M,"&lt;&gt;")=0,
"",
IF(COUNTIFS('الوحدات'!B:B,B32,'الوحدات'!M:M,"تحت الإنشاء")=COUNTIFS('الوحدات'!B:B,B32,'الوحدات'!M:M,"&lt;&gt;"),
"تحت الإنشاء",
IF(COUNTIFS('الوحدات'!B:B,B32,'الوحدات'!M:M,"تحت الإنشاء")&gt;0,
"تحت الإنشاء جزئيا",
"مباعة"
))))
</f>
        <v>تحت الإنشاء</v>
      </c>
      <c r="G32" s="26" t="str">
        <f>IFERROR(__xludf.DUMMYFUNCTION("IF(SUMPRODUCT(('الوحدات'!B:B=B32)*REGEXMATCH(TRIM('الوحدات'!J:J),""^(تاون هاوس|دور|شقة|فيلا)$""))&gt;0,""سكني"","""")"),"سكني")</f>
        <v>سكني</v>
      </c>
      <c r="H32" s="26" t="str">
        <f>IFERROR(__xludf.DUMMYFUNCTION("TEXTJOIN(""-"", TRUE, UNIQUE(FILTER('الوحدات'!J:J, 'الوحدات'!B:B = B32)))
"),"دور")</f>
        <v>دور</v>
      </c>
      <c r="I32" s="51"/>
      <c r="J32" s="71" t="s">
        <v>217</v>
      </c>
      <c r="K32" s="67" t="s">
        <v>98</v>
      </c>
      <c r="L32" s="60" t="s">
        <v>86</v>
      </c>
      <c r="M32" s="60" t="s">
        <v>87</v>
      </c>
      <c r="N32" s="70" t="s">
        <v>214</v>
      </c>
      <c r="O32" s="72" t="s">
        <v>218</v>
      </c>
      <c r="P32" s="73"/>
      <c r="Q32" s="73"/>
      <c r="R32" s="73"/>
      <c r="S32" s="32">
        <f>COUNTIF('الوحدات'!B:B, B32)</f>
        <v>9</v>
      </c>
      <c r="T32" s="33">
        <f>COUNTIFS('الوحدات'!B:B, B32, 'الوحدات'!M:M, "متاحة")</f>
        <v>0</v>
      </c>
      <c r="U32" s="33">
        <f>COUNTIFS('الوحدات'!B:B, B32, 'الوحدات'!M:M, "تحت الإنشاء")</f>
        <v>9</v>
      </c>
      <c r="V32" s="33">
        <f>COUNTIFS('الوحدات'!B:B, B32, 'الوحدات'!M:M, "محجوزة")</f>
        <v>0</v>
      </c>
      <c r="W32" s="33">
        <f>COUNTIFS('الوحدات'!B:B, B32, 'الوحدات'!M:M, "مباعة")</f>
        <v>0</v>
      </c>
      <c r="X32" s="34">
        <f>IFERROR(AVERAGEIFS('الوحدات'!L:L, 'الوحدات'!B:B, B32), "")</f>
        <v>1349000</v>
      </c>
      <c r="Y32" s="35" t="str">
        <f>IFERROR(AVERAGEIFS('الوحدات'!L:L, 'الوحدات'!B:B, B32, 'الوحدات'!M:M, "متاحة"), "")</f>
        <v/>
      </c>
      <c r="Z32" s="34">
        <f>IFERROR(SUMIFS('الوحدات'!L:L, 'الوحدات'!B:B, B32), "")</f>
        <v>12141000</v>
      </c>
      <c r="AA32" s="36">
        <f t="shared" si="5"/>
        <v>0</v>
      </c>
      <c r="AB32" s="34">
        <f>IFERROR(SUMIFS('الوحدات'!L:L, 'الوحدات'!B:B, B32, 'الوحدات'!M:M, "تحت الإنشاء"), "")</f>
        <v>12141000</v>
      </c>
      <c r="AC32" s="34">
        <f>IFERROR(SUMIFS('الوحدات'!L:L, 'الوحدات'!B:B, B32, 'الوحدات'!M:M, "متاحة"), "")</f>
        <v>0</v>
      </c>
      <c r="AD32" s="34">
        <f>IFERROR(SUMIFS('الوحدات'!L:L, 'الوحدات'!B:B, B32, 'الوحدات'!M:M, "محجوزة"), "")</f>
        <v>0</v>
      </c>
      <c r="AE32" s="34">
        <f>IFERROR(SUMIFS('الوحدات'!L:L, 'الوحدات'!B:B, B32, 'الوحدات'!M:M, "مباعة"), "")</f>
        <v>0</v>
      </c>
      <c r="AF32" s="34">
        <f>IFERROR(MINIFS('الوحدات'!L:L, 'الوحدات'!B:B, B32), "")</f>
        <v>899000</v>
      </c>
      <c r="AG32" s="34">
        <f>IFERROR(MINIFS('الوحدات'!L:L, 'الوحدات'!B:B, B32, 'الوحدات'!M:M, "متاحة"), "")</f>
        <v>0</v>
      </c>
      <c r="AH32" s="34">
        <f>IFERROR(MAXIFS('الوحدات'!L:L, 'الوحدات'!B:B, B32), "")</f>
        <v>1699000</v>
      </c>
      <c r="AI32" s="34">
        <f>IFERROR(MAXIFS('الوحدات'!L:L, 'الوحدات'!B:B, B32, 'الوحدات'!M:M, "متاحة"), "")</f>
        <v>0</v>
      </c>
      <c r="AJ32" s="32" t="str">
        <f t="shared" ref="AJ32:AK32" si="123">AH32&amp;"-"&amp;AF32</f>
        <v>1699000-899000</v>
      </c>
      <c r="AK32" s="37" t="str">
        <f t="shared" si="123"/>
        <v>0-0</v>
      </c>
      <c r="AL32" s="33">
        <f>IFERROR(MINIFS('الوحدات'!K:K, 'الوحدات'!B:B, B32), "")</f>
        <v>72</v>
      </c>
      <c r="AM32" s="33">
        <f>IFERROR(MINIFS('الوحدات'!K:K, 'الوحدات'!B:B, B32, 'الوحدات'!M:M, "متاحة"), "")</f>
        <v>0</v>
      </c>
      <c r="AN32" s="33">
        <f>IFERROR(MAXIFS('الوحدات'!K:K, 'الوحدات'!B:B, B32), "")</f>
        <v>165</v>
      </c>
      <c r="AO32" s="33">
        <f>IFERROR(MAXIFS('الوحدات'!K:K, 'الوحدات'!B:B, B32, 'الوحدات'!M:M, "متاحة"), "")</f>
        <v>0</v>
      </c>
      <c r="AP32" s="32" t="str">
        <f t="shared" ref="AP32:AQ32" si="124">AN32&amp;"-"&amp;AL32</f>
        <v>165-72</v>
      </c>
      <c r="AQ32" s="32" t="str">
        <f t="shared" si="124"/>
        <v>0-0</v>
      </c>
      <c r="AR32" s="33">
        <f>IFERROR(MINIFS('الوحدات'!N:N, 'الوحدات'!B:B, B32), "")</f>
        <v>3</v>
      </c>
      <c r="AS32" s="33">
        <f>IFERROR(MINIFS('الوحدات'!N:N, 'الوحدات'!B:B, B32, 'الوحدات'!M:M, "متاحة"), "")</f>
        <v>0</v>
      </c>
      <c r="AT32" s="33">
        <f>IFERROR(MAXIFS('الوحدات'!N:N, 'الوحدات'!B:B, B32), "")</f>
        <v>3</v>
      </c>
      <c r="AU32" s="33">
        <f>IFERROR(MAXIFS('الوحدات'!N:N, 'الوحدات'!B:B, B32, 'الوحدات'!M:M, "متاحة"), "")</f>
        <v>0</v>
      </c>
      <c r="AV32" s="14" t="str">
        <f t="shared" ref="AV32:AW32" si="125">AT32&amp;"-"&amp;AR32</f>
        <v>3-3</v>
      </c>
      <c r="AW32" s="14" t="str">
        <f t="shared" si="125"/>
        <v>0-0</v>
      </c>
      <c r="AX32" s="33">
        <f>IFERROR(MINIFS('الوحدات'!O:O, 'الوحدات'!B:B, B32), "")</f>
        <v>0</v>
      </c>
      <c r="AY32" s="38">
        <f>IFERROR(MINIFS('الوحدات'!O:O, 'الوحدات'!B:B, B32, 'الوحدات'!M:M, "متاحة"), "")</f>
        <v>0</v>
      </c>
      <c r="AZ32" s="38">
        <f>IFERROR(MAXIFS('الوحدات'!O:O, 'الوحدات'!B:B, B32), "")</f>
        <v>0</v>
      </c>
      <c r="BA32" s="33">
        <f>IFERROR(MAXIFS('الوحدات'!O:O, 'الوحدات'!B:B, B32, 'الوحدات'!M:M, "متاحة"), "")</f>
        <v>0</v>
      </c>
      <c r="BB32" s="14" t="str">
        <f t="shared" ref="BB32:BC32" si="126">AZ32&amp;"-"&amp;AX32</f>
        <v>0-0</v>
      </c>
      <c r="BC32" s="14" t="str">
        <f t="shared" si="126"/>
        <v>0-0</v>
      </c>
    </row>
    <row r="33">
      <c r="A33" s="65">
        <v>32.0</v>
      </c>
      <c r="B33" s="14" t="s">
        <v>219</v>
      </c>
      <c r="C33" s="70" t="s">
        <v>118</v>
      </c>
      <c r="D33" s="14">
        <v>156.0</v>
      </c>
      <c r="E33" s="13" t="str">
        <f t="shared" si="58"/>
        <v>ألين - 156</v>
      </c>
      <c r="F33" s="26" t="str">
        <f>IF(COUNTIFS('الوحدات'!B:B,B33,'الوحدات'!M:M,"متاحة")&gt;0,"متاح",
IF(COUNTIFS('الوحدات'!B:B,B33,'الوحدات'!M:M,"&lt;&gt;")=0,
"",
IF(COUNTIFS('الوحدات'!B:B,B33,'الوحدات'!M:M,"تحت الإنشاء")=COUNTIFS('الوحدات'!B:B,B33,'الوحدات'!M:M,"&lt;&gt;"),
"تحت الإنشاء",
IF(COUNTIFS('الوحدات'!B:B,B33,'الوحدات'!M:M,"تحت الإنشاء")&gt;0,
"تحت الإنشاء جزئيا",
"مباعة"
))))
</f>
        <v>تحت الإنشاء</v>
      </c>
      <c r="G33" s="26" t="str">
        <f>IFERROR(__xludf.DUMMYFUNCTION("IF(SUMPRODUCT(('الوحدات'!B:B=B33)*REGEXMATCH(TRIM('الوحدات'!J:J),""^(تاون هاوس|دور|شقة|فيلا)$""))&gt;0,""سكني"","""")"),"سكني")</f>
        <v>سكني</v>
      </c>
      <c r="H33" s="26" t="str">
        <f>IFERROR(__xludf.DUMMYFUNCTION("TEXTJOIN(""-"", TRUE, UNIQUE(FILTER('الوحدات'!J:J, 'الوحدات'!B:B = B33)))
"),"دور")</f>
        <v>دور</v>
      </c>
      <c r="I33" s="51"/>
      <c r="J33" s="75" t="s">
        <v>220</v>
      </c>
      <c r="K33" s="77" t="s">
        <v>98</v>
      </c>
      <c r="L33" s="60" t="s">
        <v>86</v>
      </c>
      <c r="M33" s="60" t="s">
        <v>87</v>
      </c>
      <c r="N33" s="70" t="s">
        <v>221</v>
      </c>
      <c r="O33" s="72" t="s">
        <v>222</v>
      </c>
      <c r="P33" s="73"/>
      <c r="Q33" s="73"/>
      <c r="R33" s="73"/>
      <c r="S33" s="32">
        <f>COUNTIF('الوحدات'!B:B, B33)</f>
        <v>9</v>
      </c>
      <c r="T33" s="33">
        <f>COUNTIFS('الوحدات'!B:B, B33, 'الوحدات'!M:M, "متاحة")</f>
        <v>0</v>
      </c>
      <c r="U33" s="33">
        <f>COUNTIFS('الوحدات'!B:B, B33, 'الوحدات'!M:M, "تحت الإنشاء")</f>
        <v>9</v>
      </c>
      <c r="V33" s="33">
        <f>COUNTIFS('الوحدات'!B:B, B33, 'الوحدات'!M:M, "محجوزة")</f>
        <v>0</v>
      </c>
      <c r="W33" s="33">
        <f>COUNTIFS('الوحدات'!B:B, B33, 'الوحدات'!M:M, "مباعة")</f>
        <v>0</v>
      </c>
      <c r="X33" s="34">
        <f>IFERROR(AVERAGEIFS('الوحدات'!L:L, 'الوحدات'!B:B, B33), "")</f>
        <v>1326777.778</v>
      </c>
      <c r="Y33" s="35" t="str">
        <f>IFERROR(AVERAGEIFS('الوحدات'!L:L, 'الوحدات'!B:B, B33, 'الوحدات'!M:M, "متاحة"), "")</f>
        <v/>
      </c>
      <c r="Z33" s="34">
        <f>IFERROR(SUMIFS('الوحدات'!L:L, 'الوحدات'!B:B, B33), "")</f>
        <v>11941000</v>
      </c>
      <c r="AA33" s="36">
        <f t="shared" si="5"/>
        <v>0</v>
      </c>
      <c r="AB33" s="34">
        <f>IFERROR(SUMIFS('الوحدات'!L:L, 'الوحدات'!B:B, B33, 'الوحدات'!M:M, "تحت الإنشاء"), "")</f>
        <v>11941000</v>
      </c>
      <c r="AC33" s="34">
        <f>IFERROR(SUMIFS('الوحدات'!L:L, 'الوحدات'!B:B, B33, 'الوحدات'!M:M, "متاحة"), "")</f>
        <v>0</v>
      </c>
      <c r="AD33" s="34">
        <f>IFERROR(SUMIFS('الوحدات'!L:L, 'الوحدات'!B:B, B33, 'الوحدات'!M:M, "محجوزة"), "")</f>
        <v>0</v>
      </c>
      <c r="AE33" s="34">
        <f>IFERROR(SUMIFS('الوحدات'!L:L, 'الوحدات'!B:B, B33, 'الوحدات'!M:M, "مباعة"), "")</f>
        <v>0</v>
      </c>
      <c r="AF33" s="34">
        <f>IFERROR(MINIFS('الوحدات'!L:L, 'الوحدات'!B:B, B33), "")</f>
        <v>899000</v>
      </c>
      <c r="AG33" s="34">
        <f>IFERROR(MINIFS('الوحدات'!L:L, 'الوحدات'!B:B, B33, 'الوحدات'!M:M, "متاحة"), "")</f>
        <v>0</v>
      </c>
      <c r="AH33" s="34">
        <f>IFERROR(MAXIFS('الوحدات'!L:L, 'الوحدات'!B:B, B33), "")</f>
        <v>1599000</v>
      </c>
      <c r="AI33" s="34">
        <f>IFERROR(MAXIFS('الوحدات'!L:L, 'الوحدات'!B:B, B33, 'الوحدات'!M:M, "متاحة"), "")</f>
        <v>0</v>
      </c>
      <c r="AJ33" s="32" t="str">
        <f t="shared" ref="AJ33:AK33" si="127">AH33&amp;"-"&amp;AF33</f>
        <v>1599000-899000</v>
      </c>
      <c r="AK33" s="37" t="str">
        <f t="shared" si="127"/>
        <v>0-0</v>
      </c>
      <c r="AL33" s="33">
        <f>IFERROR(MINIFS('الوحدات'!K:K, 'الوحدات'!B:B, B33), "")</f>
        <v>68</v>
      </c>
      <c r="AM33" s="33">
        <f>IFERROR(MINIFS('الوحدات'!K:K, 'الوحدات'!B:B, B33, 'الوحدات'!M:M, "متاحة"), "")</f>
        <v>0</v>
      </c>
      <c r="AN33" s="33">
        <f>IFERROR(MAXIFS('الوحدات'!K:K, 'الوحدات'!B:B, B33), "")</f>
        <v>155</v>
      </c>
      <c r="AO33" s="33">
        <f>IFERROR(MAXIFS('الوحدات'!K:K, 'الوحدات'!B:B, B33, 'الوحدات'!M:M, "متاحة"), "")</f>
        <v>0</v>
      </c>
      <c r="AP33" s="32" t="str">
        <f t="shared" ref="AP33:AQ33" si="128">AN33&amp;"-"&amp;AL33</f>
        <v>155-68</v>
      </c>
      <c r="AQ33" s="32" t="str">
        <f t="shared" si="128"/>
        <v>0-0</v>
      </c>
      <c r="AR33" s="33">
        <f>IFERROR(MINIFS('الوحدات'!N:N, 'الوحدات'!B:B, B33), "")</f>
        <v>3</v>
      </c>
      <c r="AS33" s="33">
        <f>IFERROR(MINIFS('الوحدات'!N:N, 'الوحدات'!B:B, B33, 'الوحدات'!M:M, "متاحة"), "")</f>
        <v>0</v>
      </c>
      <c r="AT33" s="33">
        <f>IFERROR(MAXIFS('الوحدات'!N:N, 'الوحدات'!B:B, B33), "")</f>
        <v>3</v>
      </c>
      <c r="AU33" s="33">
        <f>IFERROR(MAXIFS('الوحدات'!N:N, 'الوحدات'!B:B, B33, 'الوحدات'!M:M, "متاحة"), "")</f>
        <v>0</v>
      </c>
      <c r="AV33" s="14" t="str">
        <f t="shared" ref="AV33:AW33" si="129">AT33&amp;"-"&amp;AR33</f>
        <v>3-3</v>
      </c>
      <c r="AW33" s="14" t="str">
        <f t="shared" si="129"/>
        <v>0-0</v>
      </c>
      <c r="AX33" s="33">
        <f>IFERROR(MINIFS('الوحدات'!O:O, 'الوحدات'!B:B, B33), "")</f>
        <v>4</v>
      </c>
      <c r="AY33" s="38">
        <f>IFERROR(MINIFS('الوحدات'!O:O, 'الوحدات'!B:B, B33, 'الوحدات'!M:M, "متاحة"), "")</f>
        <v>0</v>
      </c>
      <c r="AZ33" s="38">
        <f>IFERROR(MAXIFS('الوحدات'!O:O, 'الوحدات'!B:B, B33), "")</f>
        <v>4</v>
      </c>
      <c r="BA33" s="33">
        <f>IFERROR(MAXIFS('الوحدات'!O:O, 'الوحدات'!B:B, B33, 'الوحدات'!M:M, "متاحة"), "")</f>
        <v>0</v>
      </c>
      <c r="BB33" s="14" t="str">
        <f t="shared" ref="BB33:BC33" si="130">AZ33&amp;"-"&amp;AX33</f>
        <v>4-4</v>
      </c>
      <c r="BC33" s="14" t="str">
        <f t="shared" si="130"/>
        <v>0-0</v>
      </c>
    </row>
    <row r="34">
      <c r="A34" s="65">
        <v>33.0</v>
      </c>
      <c r="B34" s="65" t="s">
        <v>223</v>
      </c>
      <c r="C34" s="64" t="s">
        <v>224</v>
      </c>
      <c r="D34" s="14"/>
      <c r="E34" s="64" t="s">
        <v>225</v>
      </c>
      <c r="F34" s="26" t="str">
        <f>IF(COUNTIFS('الوحدات'!B:B,B34,'الوحدات'!M:M,"متاحة")&gt;0,"متاح",
IF(COUNTIFS('الوحدات'!B:B,B34,'الوحدات'!M:M,"&lt;&gt;")=0,
"",
IF(COUNTIFS('الوحدات'!B:B,B34,'الوحدات'!M:M,"تحت الإنشاء")=COUNTIFS('الوحدات'!B:B,B34,'الوحدات'!M:M,"&lt;&gt;"),
"تحت الإنشاء",
IF(COUNTIFS('الوحدات'!B:B,B34,'الوحدات'!M:M,"تحت الإنشاء")&gt;0,
"تحت الإنشاء جزئيا",
"مباعة"
))))
</f>
        <v>متاح</v>
      </c>
      <c r="G34" s="26" t="str">
        <f>IFERROR(__xludf.DUMMYFUNCTION("IF(SUMPRODUCT(('الوحدات'!B:B=B34)*REGEXMATCH(TRIM('الوحدات'!J:J),""^(تاون هاوس|دور|شقة|فيلا)$""))&gt;0,""سكني"","""")"),"سكني")</f>
        <v>سكني</v>
      </c>
      <c r="H34" s="26" t="str">
        <f>IFERROR(__xludf.DUMMYFUNCTION("TEXTJOIN(""-"", TRUE, UNIQUE(FILTER('الوحدات'!J:J, 'الوحدات'!B:B = B34)))
"),"شقة")</f>
        <v>شقة</v>
      </c>
      <c r="I34" s="51"/>
      <c r="J34" s="71" t="s">
        <v>226</v>
      </c>
      <c r="K34" s="67" t="s">
        <v>98</v>
      </c>
      <c r="L34" s="60" t="s">
        <v>86</v>
      </c>
      <c r="M34" s="60" t="s">
        <v>87</v>
      </c>
      <c r="N34" s="70" t="s">
        <v>197</v>
      </c>
      <c r="O34" s="73"/>
      <c r="P34" s="73"/>
      <c r="Q34" s="73"/>
      <c r="R34" s="16" t="s">
        <v>227</v>
      </c>
      <c r="S34" s="32">
        <f>COUNTIF('الوحدات'!B:B, B34)</f>
        <v>36</v>
      </c>
      <c r="T34" s="33">
        <f>COUNTIFS('الوحدات'!B:B, B34, 'الوحدات'!M:M, "متاحة")</f>
        <v>36</v>
      </c>
      <c r="U34" s="33">
        <f>COUNTIFS('الوحدات'!B:B, B34, 'الوحدات'!M:M, "تحت الإنشاء")</f>
        <v>0</v>
      </c>
      <c r="V34" s="33">
        <f>COUNTIFS('الوحدات'!B:B, B34, 'الوحدات'!M:M, "محجوزة")</f>
        <v>0</v>
      </c>
      <c r="W34" s="33">
        <f>COUNTIFS('الوحدات'!B:B, B34, 'الوحدات'!M:M, "مباعة")</f>
        <v>0</v>
      </c>
      <c r="X34" s="34">
        <f>IFERROR(AVERAGEIFS('الوحدات'!L:L, 'الوحدات'!B:B, B34), "")</f>
        <v>808750</v>
      </c>
      <c r="Y34" s="35">
        <f>IFERROR(AVERAGEIFS('الوحدات'!L:L, 'الوحدات'!B:B, B34, 'الوحدات'!M:M, "متاحة"), "")</f>
        <v>808750</v>
      </c>
      <c r="Z34" s="34">
        <f>IFERROR(SUMIFS('الوحدات'!L:L, 'الوحدات'!B:B, B34), "")</f>
        <v>29115000</v>
      </c>
      <c r="AA34" s="36">
        <f t="shared" si="5"/>
        <v>0</v>
      </c>
      <c r="AB34" s="34">
        <f>IFERROR(SUMIFS('الوحدات'!L:L, 'الوحدات'!B:B, B34, 'الوحدات'!M:M, "تحت الإنشاء"), "")</f>
        <v>0</v>
      </c>
      <c r="AC34" s="34">
        <f>IFERROR(SUMIFS('الوحدات'!L:L, 'الوحدات'!B:B, B34, 'الوحدات'!M:M, "متاحة"), "")</f>
        <v>29115000</v>
      </c>
      <c r="AD34" s="34">
        <f>IFERROR(SUMIFS('الوحدات'!L:L, 'الوحدات'!B:B, B34, 'الوحدات'!M:M, "محجوزة"), "")</f>
        <v>0</v>
      </c>
      <c r="AE34" s="34">
        <f>IFERROR(SUMIFS('الوحدات'!L:L, 'الوحدات'!B:B, B34, 'الوحدات'!M:M, "مباعة"), "")</f>
        <v>0</v>
      </c>
      <c r="AF34" s="34">
        <f>IFERROR(MINIFS('الوحدات'!L:L, 'الوحدات'!B:B, B34), "")</f>
        <v>695000</v>
      </c>
      <c r="AG34" s="34">
        <f>IFERROR(MINIFS('الوحدات'!L:L, 'الوحدات'!B:B, B34, 'الوحدات'!M:M, "متاحة"), "")</f>
        <v>695000</v>
      </c>
      <c r="AH34" s="34">
        <f>IFERROR(MAXIFS('الوحدات'!L:L, 'الوحدات'!B:B, B34), "")</f>
        <v>910000</v>
      </c>
      <c r="AI34" s="34">
        <f>IFERROR(MAXIFS('الوحدات'!L:L, 'الوحدات'!B:B, B34, 'الوحدات'!M:M, "متاحة"), "")</f>
        <v>910000</v>
      </c>
      <c r="AJ34" s="32" t="str">
        <f t="shared" ref="AJ34:AK34" si="131">AH34&amp;"-"&amp;AF34</f>
        <v>910000-695000</v>
      </c>
      <c r="AK34" s="37" t="str">
        <f t="shared" si="131"/>
        <v>910000-695000</v>
      </c>
      <c r="AL34" s="33">
        <f>IFERROR(MINIFS('الوحدات'!K:K, 'الوحدات'!B:B, B34), "")</f>
        <v>90</v>
      </c>
      <c r="AM34" s="33">
        <f>IFERROR(MINIFS('الوحدات'!K:K, 'الوحدات'!B:B, B34, 'الوحدات'!M:M, "متاحة"), "")</f>
        <v>90</v>
      </c>
      <c r="AN34" s="33">
        <f>IFERROR(MAXIFS('الوحدات'!K:K, 'الوحدات'!B:B, B34), "")</f>
        <v>149</v>
      </c>
      <c r="AO34" s="33">
        <f>IFERROR(MAXIFS('الوحدات'!K:K, 'الوحدات'!B:B, B34, 'الوحدات'!M:M, "متاحة"), "")</f>
        <v>149</v>
      </c>
      <c r="AP34" s="32" t="str">
        <f t="shared" ref="AP34:AQ34" si="132">AN34&amp;"-"&amp;AL34</f>
        <v>149-90</v>
      </c>
      <c r="AQ34" s="32" t="str">
        <f t="shared" si="132"/>
        <v>149-90</v>
      </c>
      <c r="AR34" s="33">
        <f>IFERROR(MINIFS('الوحدات'!N:N, 'الوحدات'!B:B, B34), "")</f>
        <v>2</v>
      </c>
      <c r="AS34" s="33">
        <f>IFERROR(MINIFS('الوحدات'!N:N, 'الوحدات'!B:B, B34, 'الوحدات'!M:M, "متاحة"), "")</f>
        <v>2</v>
      </c>
      <c r="AT34" s="33">
        <f>IFERROR(MAXIFS('الوحدات'!N:N, 'الوحدات'!B:B, B34), "")</f>
        <v>3</v>
      </c>
      <c r="AU34" s="33">
        <f>IFERROR(MAXIFS('الوحدات'!N:N, 'الوحدات'!B:B, B34, 'الوحدات'!M:M, "متاحة"), "")</f>
        <v>3</v>
      </c>
      <c r="AV34" s="14" t="str">
        <f t="shared" ref="AV34:AW34" si="133">AT34&amp;"-"&amp;AR34</f>
        <v>3-2</v>
      </c>
      <c r="AW34" s="14" t="str">
        <f t="shared" si="133"/>
        <v>3-2</v>
      </c>
      <c r="AX34" s="33">
        <f>IFERROR(MINIFS('الوحدات'!O:O, 'الوحدات'!B:B, B34), "")</f>
        <v>2</v>
      </c>
      <c r="AY34" s="38">
        <f>IFERROR(MINIFS('الوحدات'!O:O, 'الوحدات'!B:B, B34, 'الوحدات'!M:M, "متاحة"), "")</f>
        <v>2</v>
      </c>
      <c r="AZ34" s="38">
        <f>IFERROR(MAXIFS('الوحدات'!O:O, 'الوحدات'!B:B, B34), "")</f>
        <v>3</v>
      </c>
      <c r="BA34" s="33">
        <f>IFERROR(MAXIFS('الوحدات'!O:O, 'الوحدات'!B:B, B34, 'الوحدات'!M:M, "متاحة"), "")</f>
        <v>3</v>
      </c>
      <c r="BB34" s="14" t="str">
        <f t="shared" ref="BB34:BC34" si="134">AZ34&amp;"-"&amp;AX34</f>
        <v>3-2</v>
      </c>
      <c r="BC34" s="14" t="str">
        <f t="shared" si="134"/>
        <v>3-2</v>
      </c>
    </row>
    <row r="35">
      <c r="A35" s="78">
        <v>34.0</v>
      </c>
      <c r="B35" s="57" t="s">
        <v>228</v>
      </c>
      <c r="C35" s="79" t="s">
        <v>229</v>
      </c>
      <c r="D35" s="79">
        <v>1.0</v>
      </c>
      <c r="E35" s="79" t="s">
        <v>230</v>
      </c>
      <c r="F35" s="26" t="str">
        <f>IF(COUNTIFS('الوحدات'!B:B,B35,'الوحدات'!M:M,"متاحة")&gt;0,"متاح",
IF(COUNTIFS('الوحدات'!B:B,B35,'الوحدات'!M:M,"&lt;&gt;")=0,
"",
IF(COUNTIFS('الوحدات'!B:B,B35,'الوحدات'!M:M,"تحت الإنشاء")=COUNTIFS('الوحدات'!B:B,B35,'الوحدات'!M:M,"&lt;&gt;"),
"تحت الإنشاء",
IF(COUNTIFS('الوحدات'!B:B,B35,'الوحدات'!M:M,"تحت الإنشاء")&gt;0,
"تحت الإنشاء جزئيا",
"مباعة"
))))
</f>
        <v>متاح</v>
      </c>
      <c r="G35" s="26" t="str">
        <f>IFERROR(__xludf.DUMMYFUNCTION("IF(SUMPRODUCT(('الوحدات'!B:B=B35)*REGEXMATCH(TRIM('الوحدات'!J:J),""^(تاون هاوس|دور|شقة|فيلا)$""))&gt;0,""سكني"","""")"),"سكني")</f>
        <v>سكني</v>
      </c>
      <c r="H35" s="26" t="str">
        <f>IFERROR(__xludf.DUMMYFUNCTION("TEXTJOIN(""-"", TRUE, UNIQUE(FILTER('الوحدات'!J:J, 'الوحدات'!B:B = B35)))
"),"شقة")</f>
        <v>شقة</v>
      </c>
      <c r="I35" s="80"/>
      <c r="J35" s="81" t="s">
        <v>231</v>
      </c>
      <c r="K35" s="57" t="s">
        <v>232</v>
      </c>
      <c r="L35" s="82" t="s">
        <v>86</v>
      </c>
      <c r="M35" s="57" t="s">
        <v>87</v>
      </c>
      <c r="N35" s="79" t="s">
        <v>233</v>
      </c>
      <c r="O35" s="81" t="s">
        <v>234</v>
      </c>
      <c r="P35" s="80"/>
      <c r="Q35" s="80"/>
      <c r="R35" s="79" t="s">
        <v>235</v>
      </c>
      <c r="S35" s="32">
        <f>COUNTIF('الوحدات'!B:B, B35)</f>
        <v>179</v>
      </c>
      <c r="T35" s="33">
        <f>COUNTIFS('الوحدات'!B:B, B35, 'الوحدات'!M:M, "متاحة")</f>
        <v>179</v>
      </c>
      <c r="U35" s="33">
        <f>COUNTIFS('الوحدات'!B:B, B35, 'الوحدات'!M:M, "تحت الإنشاء")</f>
        <v>0</v>
      </c>
      <c r="V35" s="33">
        <f>COUNTIFS('الوحدات'!B:B, B35, 'الوحدات'!M:M, "محجوزة")</f>
        <v>0</v>
      </c>
      <c r="W35" s="33">
        <f>COUNTIFS('الوحدات'!B:B, B35, 'الوحدات'!M:M, "مباعة")</f>
        <v>0</v>
      </c>
      <c r="X35" s="34">
        <f>IFERROR(AVERAGEIFS('الوحدات'!L:L, 'الوحدات'!B:B, B35), "")</f>
        <v>615363.1285</v>
      </c>
      <c r="Y35" s="35">
        <f>IFERROR(AVERAGEIFS('الوحدات'!L:L, 'الوحدات'!B:B, B35, 'الوحدات'!M:M, "متاحة"), "")</f>
        <v>615363.1285</v>
      </c>
      <c r="Z35" s="34">
        <f>IFERROR(SUMIFS('الوحدات'!L:L, 'الوحدات'!B:B, B35), "")</f>
        <v>110150000</v>
      </c>
      <c r="AA35" s="36">
        <f t="shared" si="5"/>
        <v>0</v>
      </c>
      <c r="AB35" s="34">
        <f>IFERROR(SUMIFS('الوحدات'!L:L, 'الوحدات'!B:B, B35, 'الوحدات'!M:M, "تحت الإنشاء"), "")</f>
        <v>0</v>
      </c>
      <c r="AC35" s="34">
        <f>IFERROR(SUMIFS('الوحدات'!L:L, 'الوحدات'!B:B, B35, 'الوحدات'!M:M, "متاحة"), "")</f>
        <v>110150000</v>
      </c>
      <c r="AD35" s="34">
        <f>IFERROR(SUMIFS('الوحدات'!L:L, 'الوحدات'!B:B, B35, 'الوحدات'!M:M, "محجوزة"), "")</f>
        <v>0</v>
      </c>
      <c r="AE35" s="34">
        <f>IFERROR(SUMIFS('الوحدات'!L:L, 'الوحدات'!B:B, B35, 'الوحدات'!M:M, "مباعة"), "")</f>
        <v>0</v>
      </c>
      <c r="AF35" s="34">
        <f>IFERROR(MINIFS('الوحدات'!L:L, 'الوحدات'!B:B, B35), "")</f>
        <v>370000</v>
      </c>
      <c r="AG35" s="34">
        <f>IFERROR(MINIFS('الوحدات'!L:L, 'الوحدات'!B:B, B35, 'الوحدات'!M:M, "متاحة"), "")</f>
        <v>370000</v>
      </c>
      <c r="AH35" s="34">
        <f>IFERROR(MAXIFS('الوحدات'!L:L, 'الوحدات'!B:B, B35), "")</f>
        <v>770000</v>
      </c>
      <c r="AI35" s="34">
        <f>IFERROR(MAXIFS('الوحدات'!L:L, 'الوحدات'!B:B, B35, 'الوحدات'!M:M, "متاحة"), "")</f>
        <v>770000</v>
      </c>
      <c r="AJ35" s="32" t="str">
        <f t="shared" ref="AJ35:AK35" si="135">AH35&amp;"-"&amp;AF35</f>
        <v>770000-370000</v>
      </c>
      <c r="AK35" s="37" t="str">
        <f t="shared" si="135"/>
        <v>770000-370000</v>
      </c>
      <c r="AL35" s="33">
        <f>IFERROR(MINIFS('الوحدات'!K:K, 'الوحدات'!B:B, B35), "")</f>
        <v>46</v>
      </c>
      <c r="AM35" s="33">
        <f>IFERROR(MINIFS('الوحدات'!K:K, 'الوحدات'!B:B, B35, 'الوحدات'!M:M, "متاحة"), "")</f>
        <v>46</v>
      </c>
      <c r="AN35" s="33">
        <f>IFERROR(MAXIFS('الوحدات'!K:K, 'الوحدات'!B:B, B35), "")</f>
        <v>135</v>
      </c>
      <c r="AO35" s="33">
        <f>IFERROR(MAXIFS('الوحدات'!K:K, 'الوحدات'!B:B, B35, 'الوحدات'!M:M, "متاحة"), "")</f>
        <v>135</v>
      </c>
      <c r="AP35" s="32" t="str">
        <f t="shared" ref="AP35:AQ35" si="136">AN35&amp;"-"&amp;AL35</f>
        <v>135-46</v>
      </c>
      <c r="AQ35" s="32" t="str">
        <f t="shared" si="136"/>
        <v>135-46</v>
      </c>
      <c r="AR35" s="33">
        <f>IFERROR(MINIFS('الوحدات'!N:N, 'الوحدات'!B:B, B35), "")</f>
        <v>1</v>
      </c>
      <c r="AS35" s="33">
        <f>IFERROR(MINIFS('الوحدات'!N:N, 'الوحدات'!B:B, B35, 'الوحدات'!M:M, "متاحة"), "")</f>
        <v>1</v>
      </c>
      <c r="AT35" s="33">
        <f>IFERROR(MAXIFS('الوحدات'!N:N, 'الوحدات'!B:B, B35), "")</f>
        <v>3</v>
      </c>
      <c r="AU35" s="33">
        <f>IFERROR(MAXIFS('الوحدات'!N:N, 'الوحدات'!B:B, B35, 'الوحدات'!M:M, "متاحة"), "")</f>
        <v>3</v>
      </c>
      <c r="AV35" s="14" t="str">
        <f t="shared" ref="AV35:AW35" si="137">AT35&amp;"-"&amp;AR35</f>
        <v>3-1</v>
      </c>
      <c r="AW35" s="14" t="str">
        <f t="shared" si="137"/>
        <v>3-1</v>
      </c>
      <c r="AX35" s="33">
        <f>IFERROR(MINIFS('الوحدات'!O:O, 'الوحدات'!B:B, B35), "")</f>
        <v>1</v>
      </c>
      <c r="AY35" s="38">
        <f>IFERROR(MINIFS('الوحدات'!O:O, 'الوحدات'!B:B, B35, 'الوحدات'!M:M, "متاحة"), "")</f>
        <v>1</v>
      </c>
      <c r="AZ35" s="38">
        <f>IFERROR(MAXIFS('الوحدات'!O:O, 'الوحدات'!B:B, B35), "")</f>
        <v>2</v>
      </c>
      <c r="BA35" s="33">
        <f>IFERROR(MAXIFS('الوحدات'!O:O, 'الوحدات'!B:B, B35, 'الوحدات'!M:M, "متاحة"), "")</f>
        <v>2</v>
      </c>
      <c r="BB35" s="14" t="str">
        <f t="shared" ref="BB35:BC35" si="138">AZ35&amp;"-"&amp;AX35</f>
        <v>2-1</v>
      </c>
      <c r="BC35" s="14" t="str">
        <f t="shared" si="138"/>
        <v>2-1</v>
      </c>
    </row>
  </sheetData>
  <dataValidations>
    <dataValidation type="list" allowBlank="1" showErrorMessage="1" sqref="R2:R9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R34:R35">
      <formula1>"صالة جلوس,مجلس,غرفة سائق,صالة طعام,غرفة خادمة,بلكونة,فناء خارجي,غرفة خدمات,غرفة غسيل,مطبخ"</formula1>
    </dataValidation>
    <dataValidation type="list" allowBlank="1" showErrorMessage="1" sqref="R10 R12 R14">
      <formula1>"صالة جلوس,مجلس,غرفة سائق,صالة طعام,غرفة خادمة,بلكونة,فناء خارجي,غرفة خدمات,غرفة غسيل"</formula1>
    </dataValidation>
  </dataValidations>
  <hyperlinks>
    <hyperlink r:id="rId1" ref="J2"/>
    <hyperlink r:id="rId2" ref="J3"/>
    <hyperlink r:id="rId3" ref="J4"/>
    <hyperlink r:id="rId4" ref="O4"/>
    <hyperlink r:id="rId5" ref="J5"/>
    <hyperlink r:id="rId6" ref="O5"/>
    <hyperlink r:id="rId7" ref="J6"/>
    <hyperlink r:id="rId8" ref="O6"/>
    <hyperlink r:id="rId9" ref="J7"/>
    <hyperlink r:id="rId10" ref="J8"/>
    <hyperlink r:id="rId11" ref="O8"/>
    <hyperlink r:id="rId12" ref="J9"/>
    <hyperlink r:id="rId13" ref="O9"/>
    <hyperlink r:id="rId14" ref="J10"/>
    <hyperlink r:id="rId15" ref="O10"/>
    <hyperlink r:id="rId16" ref="J11"/>
    <hyperlink r:id="rId17" ref="J12"/>
    <hyperlink r:id="rId18" ref="J14"/>
    <hyperlink r:id="rId19" ref="J15"/>
    <hyperlink r:id="rId20" ref="O15"/>
    <hyperlink r:id="rId21" ref="J16"/>
    <hyperlink r:id="rId22" ref="O16"/>
    <hyperlink r:id="rId23" ref="J17"/>
    <hyperlink r:id="rId24" ref="O17"/>
    <hyperlink r:id="rId25" ref="J18"/>
    <hyperlink r:id="rId26" ref="O18"/>
    <hyperlink r:id="rId27" ref="J19"/>
    <hyperlink r:id="rId28" ref="O19"/>
    <hyperlink r:id="rId29" ref="J20"/>
    <hyperlink r:id="rId30" ref="O20"/>
    <hyperlink r:id="rId31" ref="J21"/>
    <hyperlink r:id="rId32" ref="O21"/>
    <hyperlink r:id="rId33" ref="J22"/>
    <hyperlink r:id="rId34" ref="O22"/>
    <hyperlink r:id="rId35" ref="J23"/>
    <hyperlink r:id="rId36" ref="O23"/>
    <hyperlink r:id="rId37" ref="J24"/>
    <hyperlink r:id="rId38" ref="O24"/>
    <hyperlink r:id="rId39" ref="J25"/>
    <hyperlink r:id="rId40" ref="O25"/>
    <hyperlink r:id="rId41" ref="J26"/>
    <hyperlink r:id="rId42" ref="O26"/>
    <hyperlink r:id="rId43" ref="J27"/>
    <hyperlink r:id="rId44" ref="O27"/>
    <hyperlink r:id="rId45" ref="J28"/>
    <hyperlink r:id="rId46" ref="O28"/>
    <hyperlink r:id="rId47" ref="J29"/>
    <hyperlink r:id="rId48" ref="O29"/>
    <hyperlink r:id="rId49" ref="J30"/>
    <hyperlink r:id="rId50" ref="O30"/>
    <hyperlink r:id="rId51" ref="J31"/>
    <hyperlink r:id="rId52" ref="O31"/>
    <hyperlink r:id="rId53" ref="J32"/>
    <hyperlink r:id="rId54" ref="O32"/>
    <hyperlink r:id="rId55" ref="J33"/>
    <hyperlink r:id="rId56" ref="O33"/>
    <hyperlink r:id="rId57" ref="J34"/>
    <hyperlink r:id="rId58" ref="J35"/>
    <hyperlink r:id="rId59" ref="L35"/>
    <hyperlink r:id="rId60" ref="O35"/>
  </hyperlinks>
  <drawing r:id="rId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6" max="6" width="20.13"/>
    <col customWidth="1" min="8" max="8" width="13.0"/>
    <col customWidth="1" min="12" max="12" width="13.75"/>
    <col customWidth="1" min="17" max="17" width="6.75"/>
    <col customWidth="1" min="18" max="18" width="57.13"/>
  </cols>
  <sheetData>
    <row r="1">
      <c r="A1" s="83" t="s">
        <v>236</v>
      </c>
      <c r="B1" s="83" t="s">
        <v>237</v>
      </c>
      <c r="C1" s="84" t="s">
        <v>238</v>
      </c>
      <c r="D1" s="83" t="s">
        <v>239</v>
      </c>
      <c r="E1" s="83" t="s">
        <v>240</v>
      </c>
      <c r="F1" s="83" t="s">
        <v>241</v>
      </c>
      <c r="G1" s="83" t="s">
        <v>242</v>
      </c>
      <c r="H1" s="83" t="s">
        <v>243</v>
      </c>
      <c r="I1" s="84" t="s">
        <v>244</v>
      </c>
      <c r="J1" s="84" t="s">
        <v>245</v>
      </c>
      <c r="K1" s="84" t="s">
        <v>246</v>
      </c>
      <c r="L1" s="84" t="s">
        <v>247</v>
      </c>
      <c r="M1" s="84" t="s">
        <v>248</v>
      </c>
      <c r="N1" s="84" t="s">
        <v>249</v>
      </c>
      <c r="O1" s="83" t="s">
        <v>250</v>
      </c>
      <c r="P1" s="83" t="s">
        <v>251</v>
      </c>
      <c r="Q1" s="83" t="s">
        <v>252</v>
      </c>
      <c r="R1" s="85" t="s">
        <v>253</v>
      </c>
      <c r="S1" s="83" t="s">
        <v>254</v>
      </c>
      <c r="T1" s="83" t="s">
        <v>255</v>
      </c>
      <c r="U1" s="83" t="s">
        <v>256</v>
      </c>
      <c r="V1" s="83" t="s">
        <v>257</v>
      </c>
      <c r="W1" s="83" t="s">
        <v>258</v>
      </c>
      <c r="X1" s="83" t="s">
        <v>259</v>
      </c>
      <c r="Y1" s="86" t="s">
        <v>260</v>
      </c>
      <c r="Z1" s="83" t="s">
        <v>261</v>
      </c>
      <c r="AA1" s="83" t="s">
        <v>262</v>
      </c>
      <c r="AB1" s="83" t="s">
        <v>263</v>
      </c>
      <c r="AC1" s="83" t="s">
        <v>264</v>
      </c>
      <c r="AD1" s="83" t="s">
        <v>265</v>
      </c>
      <c r="AE1" s="83" t="s">
        <v>266</v>
      </c>
      <c r="AF1" s="83" t="s">
        <v>267</v>
      </c>
      <c r="AG1" s="83" t="s">
        <v>268</v>
      </c>
      <c r="AH1" s="83" t="s">
        <v>269</v>
      </c>
      <c r="AI1" s="83" t="s">
        <v>270</v>
      </c>
      <c r="AJ1" s="83" t="s">
        <v>271</v>
      </c>
      <c r="AK1" s="83" t="s">
        <v>272</v>
      </c>
      <c r="AL1" s="87" t="s">
        <v>273</v>
      </c>
      <c r="AM1" s="83" t="s">
        <v>274</v>
      </c>
      <c r="AN1" s="83" t="s">
        <v>275</v>
      </c>
      <c r="AO1" s="83" t="s">
        <v>276</v>
      </c>
      <c r="AP1" s="83" t="s">
        <v>277</v>
      </c>
      <c r="AQ1" s="83" t="s">
        <v>278</v>
      </c>
      <c r="AR1" s="83" t="s">
        <v>279</v>
      </c>
      <c r="AS1" s="83" t="s">
        <v>280</v>
      </c>
      <c r="AT1" s="83" t="s">
        <v>281</v>
      </c>
      <c r="AU1" s="83" t="s">
        <v>282</v>
      </c>
      <c r="AV1" s="83" t="s">
        <v>283</v>
      </c>
      <c r="AW1" s="83" t="s">
        <v>284</v>
      </c>
      <c r="AX1" s="83" t="s">
        <v>285</v>
      </c>
      <c r="AY1" s="83" t="s">
        <v>286</v>
      </c>
      <c r="AZ1" s="83" t="s">
        <v>287</v>
      </c>
      <c r="BA1" s="83" t="s">
        <v>288</v>
      </c>
      <c r="BB1" s="83" t="s">
        <v>289</v>
      </c>
      <c r="BC1" s="83" t="s">
        <v>290</v>
      </c>
    </row>
    <row r="2">
      <c r="A2" s="25">
        <v>1.0</v>
      </c>
      <c r="B2" s="7" t="s">
        <v>81</v>
      </c>
      <c r="C2" s="26" t="s">
        <v>82</v>
      </c>
      <c r="D2" s="25"/>
      <c r="E2" s="26" t="s">
        <v>83</v>
      </c>
      <c r="F2" s="26" t="str">
        <f t="array" ref="F2">SWITCH(
XLOOKUP(B2,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2" s="26" t="str">
        <f t="array" ref="G2">SWITCH(
XLOOKUP(B2, 'المشاريع'!B:B, 'المشاريع'!G:G),
"سكني","Residential",
"تجاري","Commercial"
)
</f>
        <v>Residential</v>
      </c>
      <c r="H2" s="26" t="str">
        <f t="array" ref="H2">SUBSTITUTE(
SUBSTITUTE(
SUBSTITUTE(
SUBSTITUTE(
SUBSTITUTE(
XLOOKUP(B2,'المشاريع'!B:B,'المشاريع'!H:H),
"شقة","Apartment"),
"دور","Floor"),
"فيلا","Villa"),
"تاون هاوس","Town House"),
"-",", ")
</f>
        <v>Floor, Apartment</v>
      </c>
      <c r="I2" s="27"/>
      <c r="J2" s="28" t="s">
        <v>84</v>
      </c>
      <c r="K2" s="29" t="str">
        <f t="array" ref="K2">SUBSTITUTE(
SUBSTITUTE(
SUBSTITUTE(
SUBSTITUTE(
XLOOKUP(B2, 'المشاريع'!B:B, 'المشاريع'!K:K),
"شمال","North"),
"شرق","East"),
"جنوب","South"),
"غرب","West")
</f>
        <v>North</v>
      </c>
      <c r="L2" s="30" t="s">
        <v>86</v>
      </c>
      <c r="M2" s="26" t="s">
        <v>87</v>
      </c>
      <c r="N2" s="26" t="s">
        <v>88</v>
      </c>
      <c r="O2" s="31"/>
      <c r="P2" s="31"/>
      <c r="Q2" s="31"/>
      <c r="R2" s="88" t="str">
        <f t="array" ref="R2">SUBSTITUTE(
SUBSTITUTE(
SUBSTITUTE(
SUBSTITUTE(
SUBSTITUTE(
SUBSTITUTE(
SUBSTITUTE(
SUBSTITUTE(
SUBSTITUTE(
SUBSTITUTE(
SUBSTITUTE(
XLOOKUP(B2,'المشاريع'!B:B,'المشاريع'!R:R),"صالة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Living room, Reception room</v>
      </c>
      <c r="S2" s="32">
        <f>COUNTIF('الوحدات'!B:B, B2)</f>
        <v>6</v>
      </c>
      <c r="T2" s="33">
        <f>COUNTIFS('الوحدات'!B:B, B2, 'الوحدات'!M:M, "متاحة")</f>
        <v>6</v>
      </c>
      <c r="U2" s="33">
        <f>COUNTIFS('الوحدات'!B:B, B2, 'الوحدات'!M:M, "تحت الإنشاء")</f>
        <v>0</v>
      </c>
      <c r="V2" s="33">
        <f>COUNTIFS('الوحدات'!B:B, B2, 'الوحدات'!M:M, "محجوزة")</f>
        <v>0</v>
      </c>
      <c r="W2" s="33">
        <f>COUNTIFS('الوحدات'!B:B, B2, 'الوحدات'!M:M, "مباعة")</f>
        <v>0</v>
      </c>
      <c r="X2" s="34">
        <f>IFERROR(AVERAGEIFS('الوحدات'!L:L, 'الوحدات'!B:B, B2), "")</f>
        <v>796666.6667</v>
      </c>
      <c r="Y2" s="89">
        <f>IFERROR(
ROUND(
AVERAGEIFS('الوحدات'!L:L, 'الوحدات'!B:B, B2, 'الوحدات'!M:M, "متاحة"),
2
),
""
)
</f>
        <v>796666.67</v>
      </c>
      <c r="Z2" s="34">
        <f>IFERROR(SUMIFS('الوحدات'!L:L, 'الوحدات'!B:B, B2), "")</f>
        <v>4780000</v>
      </c>
      <c r="AA2" s="36">
        <f t="shared" ref="AA2:AA34" si="5">ROUND(AE2/Z2, 2)</f>
        <v>0</v>
      </c>
      <c r="AB2" s="34">
        <f>IFERROR(SUMIFS('الوحدات'!L:L, 'الوحدات'!B:B, B2, 'الوحدات'!M:M, "تحت الإنشاء"), "")</f>
        <v>0</v>
      </c>
      <c r="AC2" s="34">
        <f>IFERROR(SUMIFS('الوحدات'!L:L, 'الوحدات'!B:B, B2, 'الوحدات'!M:M, "متاحة"), "")</f>
        <v>4780000</v>
      </c>
      <c r="AD2" s="34">
        <f>IFERROR(SUMIFS('الوحدات'!L:L, 'الوحدات'!B:B, B2, 'الوحدات'!M:M, "محجوزة"), "")</f>
        <v>0</v>
      </c>
      <c r="AE2" s="34">
        <f>IFERROR(SUMIFS('الوحدات'!L:L, 'الوحدات'!B:B, B2, 'الوحدات'!M:M, "مباعة"), "")</f>
        <v>0</v>
      </c>
      <c r="AF2" s="34">
        <f>IFERROR(
ROUND(
VALUE(
SUBSTITUTE(
SUBSTITUTE(
MINIFS('الوحدات'!L:L,'الوحدات'!B:B,B2),
",",""),
"٬","")
),
0
),
""
)
</f>
        <v>600000</v>
      </c>
      <c r="AG2" s="34">
        <f>IFERROR(MINIFS('الوحدات'!L:L, 'الوحدات'!B:B, B2, 'الوحدات'!M:M, "متاحة"), "")</f>
        <v>600000</v>
      </c>
      <c r="AH2" s="34">
        <f>IFERROR(MAXIFS('الوحدات'!L:L, 'الوحدات'!B:B, B2), "")</f>
        <v>990000</v>
      </c>
      <c r="AI2" s="34">
        <f>IFERROR(MAXIFS('الوحدات'!L:L, 'الوحدات'!B:B, B2, 'الوحدات'!M:M, "متاحة"), "")</f>
        <v>990000</v>
      </c>
      <c r="AJ2" s="32" t="str">
        <f t="shared" ref="AJ2:AK2" si="1">AH2&amp;"-"&amp;AF2</f>
        <v>990000-600000</v>
      </c>
      <c r="AK2" s="37" t="str">
        <f t="shared" si="1"/>
        <v>990000-600000</v>
      </c>
      <c r="AL2" s="34">
        <f>IFERROR(MINIFS('الوحدات'!K:K, 'الوحدات'!B:B, B2), "")</f>
        <v>186</v>
      </c>
      <c r="AM2" s="33">
        <f>IFERROR(MINIFS('الوحدات'!K:K, 'الوحدات'!B:B, B2, 'الوحدات'!M:M, "متاحة"), "")</f>
        <v>186</v>
      </c>
      <c r="AN2" s="33">
        <f>IFERROR(MAXIFS('الوحدات'!K:K, 'الوحدات'!B:B, B2), "")</f>
        <v>258</v>
      </c>
      <c r="AO2" s="33">
        <f>IFERROR(MAXIFS('الوحدات'!K:K, 'الوحدات'!B:B, B2, 'الوحدات'!M:M, "متاحة"), "")</f>
        <v>258</v>
      </c>
      <c r="AP2" s="32" t="str">
        <f t="shared" ref="AP2:AQ2" si="2">AN2&amp;"-"&amp;AL2</f>
        <v>258-186</v>
      </c>
      <c r="AQ2" s="32" t="str">
        <f t="shared" si="2"/>
        <v>258-186</v>
      </c>
      <c r="AR2" s="33">
        <f>IFERROR(MINIFS('الوحدات'!N:N, 'الوحدات'!B:B, B2), "")</f>
        <v>2</v>
      </c>
      <c r="AS2" s="33">
        <f>IFERROR(MINIFS('الوحدات'!N:N, 'الوحدات'!B:B, B2, 'الوحدات'!M:M, "متاحة"), "")</f>
        <v>2</v>
      </c>
      <c r="AT2" s="33">
        <f>IFERROR(MAXIFS('الوحدات'!N:N, 'الوحدات'!B:B, B2), "")</f>
        <v>3</v>
      </c>
      <c r="AU2" s="33">
        <f>IFERROR(MAXIFS('الوحدات'!N:N, 'الوحدات'!B:B, B2, 'الوحدات'!M:M, "متاحة"), "")</f>
        <v>3</v>
      </c>
      <c r="AV2" s="14" t="str">
        <f t="shared" ref="AV2:AW2" si="3">AT2&amp;"-"&amp;AR2</f>
        <v>3-2</v>
      </c>
      <c r="AW2" s="14" t="str">
        <f t="shared" si="3"/>
        <v>3-2</v>
      </c>
      <c r="AX2" s="33">
        <f>IFERROR(MINIFS('الوحدات'!O:O, 'الوحدات'!B:B, B2), "")</f>
        <v>2</v>
      </c>
      <c r="AY2" s="38">
        <f>IFERROR(MINIFS('الوحدات'!O:O, 'الوحدات'!B:B, B2, 'الوحدات'!M:M, "متاحة"), "")</f>
        <v>2</v>
      </c>
      <c r="AZ2" s="38">
        <f>IFERROR(MAXIFS('الوحدات'!O:O, 'الوحدات'!B:B, B2), "")</f>
        <v>3</v>
      </c>
      <c r="BA2" s="33">
        <f>IFERROR(MAXIFS('الوحدات'!O:O, 'الوحدات'!B:B, B2, 'الوحدات'!M:M, "متاحة"), "")</f>
        <v>3</v>
      </c>
      <c r="BB2" s="14" t="str">
        <f t="shared" ref="BB2:BC2" si="4">AZ2&amp;"-"&amp;AX2</f>
        <v>3-2</v>
      </c>
      <c r="BC2" s="14" t="str">
        <f t="shared" si="4"/>
        <v>3-2</v>
      </c>
    </row>
    <row r="3">
      <c r="A3" s="25">
        <v>2.0</v>
      </c>
      <c r="B3" s="7" t="s">
        <v>90</v>
      </c>
      <c r="C3" s="26" t="s">
        <v>91</v>
      </c>
      <c r="D3" s="25"/>
      <c r="E3" s="26" t="s">
        <v>92</v>
      </c>
      <c r="F3" s="26" t="str">
        <f t="array" ref="F3">SWITCH(
XLOOKUP(B3,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3" s="26" t="str">
        <f t="array" ref="G3">SWITCH(
XLOOKUP(B3, 'المشاريع'!B:B, 'المشاريع'!G:G),
"سكني","Residential",
"تجاري","Commercial"
)
</f>
        <v>Residential</v>
      </c>
      <c r="H3" s="26" t="str">
        <f t="array" ref="H3">SUBSTITUTE(
SUBSTITUTE(
SUBSTITUTE(
SUBSTITUTE(
SUBSTITUTE(
XLOOKUP(B3,'المشاريع'!B:B,'المشاريع'!H:H),
"شقة","Apartment"),
"دور","Floor"),
"فيلا","Villa"),
"تاون هاوس","Town House"),
"-",", ")
</f>
        <v>Floor, Apartment</v>
      </c>
      <c r="I3" s="27"/>
      <c r="J3" s="28" t="s">
        <v>93</v>
      </c>
      <c r="K3" s="29" t="str">
        <f t="array" ref="K3">SUBSTITUTE(
SUBSTITUTE(
SUBSTITUTE(
SUBSTITUTE(
XLOOKUP(B3, 'المشاريع'!B:B, 'المشاريع'!K:K),
"شمال","North"),
"شرق","East"),
"جنوب","South"),
"غرب","West")
</f>
        <v>North</v>
      </c>
      <c r="L3" s="39" t="s">
        <v>86</v>
      </c>
      <c r="M3" s="40" t="s">
        <v>87</v>
      </c>
      <c r="N3" s="26" t="s">
        <v>88</v>
      </c>
      <c r="O3" s="31"/>
      <c r="P3" s="31"/>
      <c r="Q3" s="31"/>
      <c r="R3" s="88" t="str">
        <f t="array" ref="R3">SUBSTITUTE(
SUBSTITUTE(
SUBSTITUTE(
SUBSTITUTE(
SUBSTITUTE(
SUBSTITUTE(
SUBSTITUTE(
SUBSTITUTE(
SUBSTITUTE(
SUBSTITUTE(
SUBSTITUTE(
XLOOKUP(B3,'المشاريع'!B:B,'المشاريع'!R:R),"صالة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Living room, Reception room</v>
      </c>
      <c r="S3" s="32">
        <f>COUNTIF('الوحدات'!B:B, B3)</f>
        <v>6</v>
      </c>
      <c r="T3" s="33">
        <f>COUNTIFS('الوحدات'!B:B, B3, 'الوحدات'!M:M, "متاحة")</f>
        <v>3</v>
      </c>
      <c r="U3" s="33">
        <f>COUNTIFS('الوحدات'!B:B, B3, 'الوحدات'!M:M, "تحت الإنشاء")</f>
        <v>0</v>
      </c>
      <c r="V3" s="33">
        <f>COUNTIFS('الوحدات'!B:B, B3, 'الوحدات'!M:M, "محجوزة")</f>
        <v>0</v>
      </c>
      <c r="W3" s="33">
        <f>COUNTIFS('الوحدات'!B:B, B3, 'الوحدات'!M:M, "مباعة")</f>
        <v>3</v>
      </c>
      <c r="X3" s="34">
        <f>IFERROR(AVERAGEIFS('الوحدات'!L:L, 'الوحدات'!B:B, B3), "")</f>
        <v>856333.3333</v>
      </c>
      <c r="Y3" s="89">
        <f>IFERROR(
ROUND(
AVERAGEIFS('الوحدات'!L:L, 'الوحدات'!B:B, B3, 'الوحدات'!M:M, "متاحة"),
2
),
""
)
</f>
        <v>882666.67</v>
      </c>
      <c r="Z3" s="34">
        <f>IFERROR(SUMIFS('الوحدات'!L:L, 'الوحدات'!B:B, B3), "")</f>
        <v>5138000</v>
      </c>
      <c r="AA3" s="36">
        <f t="shared" si="5"/>
        <v>0.48</v>
      </c>
      <c r="AB3" s="34">
        <f>IFERROR(SUMIFS('الوحدات'!L:L, 'الوحدات'!B:B, B3, 'الوحدات'!M:M, "تحت الإنشاء"), "")</f>
        <v>0</v>
      </c>
      <c r="AC3" s="34">
        <f>IFERROR(SUMIFS('الوحدات'!L:L, 'الوحدات'!B:B, B3, 'الوحدات'!M:M, "متاحة"), "")</f>
        <v>2648000</v>
      </c>
      <c r="AD3" s="34">
        <f>IFERROR(SUMIFS('الوحدات'!L:L, 'الوحدات'!B:B, B3, 'الوحدات'!M:M, "محجوزة"), "")</f>
        <v>0</v>
      </c>
      <c r="AE3" s="34">
        <f>IFERROR(SUMIFS('الوحدات'!L:L, 'الوحدات'!B:B, B3, 'الوحدات'!M:M, "مباعة"), "")</f>
        <v>2490000</v>
      </c>
      <c r="AF3" s="34">
        <f>IFERROR(
ROUND(
VALUE(
SUBSTITUTE(
SUBSTITUTE(
MINIFS('الوحدات'!L:L,'الوحدات'!B:B,B3),
",",""),
"٬","")
),
0
),
""
)
</f>
        <v>750000</v>
      </c>
      <c r="AG3" s="34">
        <f>IFERROR(MINIFS('الوحدات'!L:L, 'الوحدات'!B:B, B3, 'الوحدات'!M:M, "متاحة"), "")</f>
        <v>829000</v>
      </c>
      <c r="AH3" s="34">
        <f>IFERROR(MAXIFS('الوحدات'!L:L, 'الوحدات'!B:B, B3), "")</f>
        <v>990000</v>
      </c>
      <c r="AI3" s="34">
        <f>IFERROR(MAXIFS('الوحدات'!L:L, 'الوحدات'!B:B, B3, 'الوحدات'!M:M, "متاحة"), "")</f>
        <v>990000</v>
      </c>
      <c r="AJ3" s="32" t="str">
        <f t="shared" ref="AJ3:AK3" si="6">AH3&amp;"-"&amp;AF3</f>
        <v>990000-750000</v>
      </c>
      <c r="AK3" s="37" t="str">
        <f t="shared" si="6"/>
        <v>990000-829000</v>
      </c>
      <c r="AL3" s="34">
        <f>IFERROR(MINIFS('الوحدات'!K:K, 'الوحدات'!B:B, B3), "")</f>
        <v>203</v>
      </c>
      <c r="AM3" s="33">
        <f>IFERROR(MINIFS('الوحدات'!K:K, 'الوحدات'!B:B, B3, 'الوحدات'!M:M, "متاحة"), "")</f>
        <v>222</v>
      </c>
      <c r="AN3" s="33">
        <f>IFERROR(MAXIFS('الوحدات'!K:K, 'الوحدات'!B:B, B3), "")</f>
        <v>259</v>
      </c>
      <c r="AO3" s="33">
        <f>IFERROR(MAXIFS('الوحدات'!K:K, 'الوحدات'!B:B, B3, 'الوحدات'!M:M, "متاحة"), "")</f>
        <v>259</v>
      </c>
      <c r="AP3" s="32" t="str">
        <f t="shared" ref="AP3:AQ3" si="7">AN3&amp;"-"&amp;AL3</f>
        <v>259-203</v>
      </c>
      <c r="AQ3" s="32" t="str">
        <f t="shared" si="7"/>
        <v>259-222</v>
      </c>
      <c r="AR3" s="33">
        <f>IFERROR(MINIFS('الوحدات'!N:N, 'الوحدات'!B:B, B3), "")</f>
        <v>0</v>
      </c>
      <c r="AS3" s="33">
        <f>IFERROR(MINIFS('الوحدات'!N:N, 'الوحدات'!B:B, B3, 'الوحدات'!M:M, "متاحة"), "")</f>
        <v>0</v>
      </c>
      <c r="AT3" s="33">
        <f>IFERROR(MAXIFS('الوحدات'!N:N, 'الوحدات'!B:B, B3), "")</f>
        <v>0</v>
      </c>
      <c r="AU3" s="33">
        <f>IFERROR(MAXIFS('الوحدات'!N:N, 'الوحدات'!B:B, B3, 'الوحدات'!M:M, "متاحة"), "")</f>
        <v>0</v>
      </c>
      <c r="AV3" s="14" t="str">
        <f t="shared" ref="AV3:AW3" si="8">AT3&amp;"-"&amp;AR3</f>
        <v>0-0</v>
      </c>
      <c r="AW3" s="14" t="str">
        <f t="shared" si="8"/>
        <v>0-0</v>
      </c>
      <c r="AX3" s="33">
        <f>IFERROR(MINIFS('الوحدات'!O:O, 'الوحدات'!B:B, B3), "")</f>
        <v>0</v>
      </c>
      <c r="AY3" s="38">
        <f>IFERROR(MINIFS('الوحدات'!O:O, 'الوحدات'!B:B, B3, 'الوحدات'!M:M, "متاحة"), "")</f>
        <v>0</v>
      </c>
      <c r="AZ3" s="38">
        <f>IFERROR(MAXIFS('الوحدات'!O:O, 'الوحدات'!B:B, B3), "")</f>
        <v>0</v>
      </c>
      <c r="BA3" s="33">
        <f>IFERROR(MAXIFS('الوحدات'!O:O, 'الوحدات'!B:B, B3, 'الوحدات'!M:M, "متاحة"), "")</f>
        <v>0</v>
      </c>
      <c r="BB3" s="14" t="str">
        <f t="shared" ref="BB3:BC3" si="9">AZ3&amp;"-"&amp;AX3</f>
        <v>0-0</v>
      </c>
      <c r="BC3" s="14" t="str">
        <f t="shared" si="9"/>
        <v>0-0</v>
      </c>
    </row>
    <row r="4">
      <c r="A4" s="25">
        <v>3.0</v>
      </c>
      <c r="B4" s="7" t="s">
        <v>94</v>
      </c>
      <c r="C4" s="26" t="s">
        <v>95</v>
      </c>
      <c r="D4" s="25"/>
      <c r="E4" s="26" t="s">
        <v>96</v>
      </c>
      <c r="F4" s="26" t="str">
        <f t="array" ref="F4">SWITCH(
XLOOKUP(B4,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4" s="26" t="str">
        <f t="array" ref="G4">SWITCH(
XLOOKUP(B4, 'المشاريع'!B:B, 'المشاريع'!G:G),
"سكني","Residential",
"تجاري","Commercial"
)
</f>
        <v>Residential</v>
      </c>
      <c r="H4" s="26" t="str">
        <f t="array" ref="H4">SUBSTITUTE(
SUBSTITUTE(
SUBSTITUTE(
SUBSTITUTE(
SUBSTITUTE(
XLOOKUP(B4,'المشاريع'!B:B,'المشاريع'!H:H),
"شقة","Apartment"),
"دور","Floor"),
"فيلا","Villa"),
"تاون هاوس","Town House"),
"-",", ")
</f>
        <v>Floor, Apartment</v>
      </c>
      <c r="I4" s="27"/>
      <c r="J4" s="41" t="s">
        <v>97</v>
      </c>
      <c r="K4" s="29" t="str">
        <f t="array" ref="K4">SUBSTITUTE(
SUBSTITUTE(
SUBSTITUTE(
SUBSTITUTE(
XLOOKUP(B4, 'المشاريع'!B:B, 'المشاريع'!K:K),
"شمال","North"),
"شرق","East"),
"جنوب","South"),
"غرب","West")
</f>
        <v>East</v>
      </c>
      <c r="L4" s="39" t="s">
        <v>86</v>
      </c>
      <c r="M4" s="40" t="s">
        <v>87</v>
      </c>
      <c r="N4" s="26" t="s">
        <v>99</v>
      </c>
      <c r="O4" s="43" t="s">
        <v>100</v>
      </c>
      <c r="P4" s="44"/>
      <c r="Q4" s="44"/>
      <c r="R4" s="88" t="str">
        <f t="array" ref="R4">SUBSTITUTE(
SUBSTITUTE(
SUBSTITUTE(
SUBSTITUTE(
SUBSTITUTE(
SUBSTITUTE(
SUBSTITUTE(
SUBSTITUTE(
SUBSTITUTE(
SUBSTITUTE(
SUBSTITUTE(
XLOOKUP(B4,'المشاريع'!B:B,'المشاريع'!R:R),"صالة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Living room, Reception room</v>
      </c>
      <c r="S4" s="32">
        <f>COUNTIF('الوحدات'!B:B, B4)</f>
        <v>6</v>
      </c>
      <c r="T4" s="33">
        <f>COUNTIFS('الوحدات'!B:B, B4, 'الوحدات'!M:M, "متاحة")</f>
        <v>4</v>
      </c>
      <c r="U4" s="33">
        <f>COUNTIFS('الوحدات'!B:B, B4, 'الوحدات'!M:M, "تحت الإنشاء")</f>
        <v>0</v>
      </c>
      <c r="V4" s="33">
        <f>COUNTIFS('الوحدات'!B:B, B4, 'الوحدات'!M:M, "محجوزة")</f>
        <v>1</v>
      </c>
      <c r="W4" s="33">
        <f>COUNTIFS('الوحدات'!B:B, B4, 'الوحدات'!M:M, "مباعة")</f>
        <v>1</v>
      </c>
      <c r="X4" s="34">
        <f>IFERROR(AVERAGEIFS('الوحدات'!L:L, 'الوحدات'!B:B, B4), "")</f>
        <v>1420000</v>
      </c>
      <c r="Y4" s="89">
        <f>IFERROR(
ROUND(
AVERAGEIFS('الوحدات'!L:L, 'الوحدات'!B:B, B4, 'الوحدات'!M:M, "متاحة"),
2
),
""
)
</f>
        <v>1372500</v>
      </c>
      <c r="Z4" s="34">
        <f>IFERROR(SUMIFS('الوحدات'!L:L, 'الوحدات'!B:B, B4), "")</f>
        <v>8520000</v>
      </c>
      <c r="AA4" s="36">
        <f t="shared" si="5"/>
        <v>0.19</v>
      </c>
      <c r="AB4" s="34">
        <f>IFERROR(SUMIFS('الوحدات'!L:L, 'الوحدات'!B:B, B4, 'الوحدات'!M:M, "تحت الإنشاء"), "")</f>
        <v>0</v>
      </c>
      <c r="AC4" s="34">
        <f>IFERROR(SUMIFS('الوحدات'!L:L, 'الوحدات'!B:B, B4, 'الوحدات'!M:M, "متاحة"), "")</f>
        <v>5490000</v>
      </c>
      <c r="AD4" s="34">
        <f>IFERROR(SUMIFS('الوحدات'!L:L, 'الوحدات'!B:B, B4, 'الوحدات'!M:M, "محجوزة"), "")</f>
        <v>1390000</v>
      </c>
      <c r="AE4" s="34">
        <f>IFERROR(SUMIFS('الوحدات'!L:L, 'الوحدات'!B:B, B4, 'الوحدات'!M:M, "مباعة"), "")</f>
        <v>1640000</v>
      </c>
      <c r="AF4" s="34">
        <f>IFERROR(
ROUND(
VALUE(
SUBSTITUTE(
SUBSTITUTE(
MINIFS('الوحدات'!L:L,'الوحدات'!B:B,B4),
",",""),
"٬","")
),
0
),
""
)
</f>
        <v>1230000</v>
      </c>
      <c r="AG4" s="34">
        <f>IFERROR(MINIFS('الوحدات'!L:L, 'الوحدات'!B:B, B4, 'الوحدات'!M:M, "متاحة"), "")</f>
        <v>1230000</v>
      </c>
      <c r="AH4" s="34">
        <f>IFERROR(MAXIFS('الوحدات'!L:L, 'الوحدات'!B:B, B4), "")</f>
        <v>1640000</v>
      </c>
      <c r="AI4" s="34">
        <f>IFERROR(MAXIFS('الوحدات'!L:L, 'الوحدات'!B:B, B4, 'الوحدات'!M:M, "متاحة"), "")</f>
        <v>1640000</v>
      </c>
      <c r="AJ4" s="32" t="str">
        <f t="shared" ref="AJ4:AK4" si="10">AH4&amp;"-"&amp;AF4</f>
        <v>1640000-1230000</v>
      </c>
      <c r="AK4" s="37" t="str">
        <f t="shared" si="10"/>
        <v>1640000-1230000</v>
      </c>
      <c r="AL4" s="34">
        <f>IFERROR(MINIFS('الوحدات'!K:K, 'الوحدات'!B:B, B4), "")</f>
        <v>142</v>
      </c>
      <c r="AM4" s="33">
        <f>IFERROR(MINIFS('الوحدات'!K:K, 'الوحدات'!B:B, B4, 'الوحدات'!M:M, "متاحة"), "")</f>
        <v>142</v>
      </c>
      <c r="AN4" s="33">
        <f>IFERROR(MAXIFS('الوحدات'!K:K, 'الوحدات'!B:B, B4), "")</f>
        <v>214</v>
      </c>
      <c r="AO4" s="33">
        <f>IFERROR(MAXIFS('الوحدات'!K:K, 'الوحدات'!B:B, B4, 'الوحدات'!M:M, "متاحة"), "")</f>
        <v>214</v>
      </c>
      <c r="AP4" s="32" t="str">
        <f t="shared" ref="AP4:AQ4" si="11">AN4&amp;"-"&amp;AL4</f>
        <v>214-142</v>
      </c>
      <c r="AQ4" s="32" t="str">
        <f t="shared" si="11"/>
        <v>214-142</v>
      </c>
      <c r="AR4" s="33">
        <f>IFERROR(MINIFS('الوحدات'!N:N, 'الوحدات'!B:B, B4), "")</f>
        <v>3</v>
      </c>
      <c r="AS4" s="33">
        <f>IFERROR(MINIFS('الوحدات'!N:N, 'الوحدات'!B:B, B4, 'الوحدات'!M:M, "متاحة"), "")</f>
        <v>3</v>
      </c>
      <c r="AT4" s="33">
        <f>IFERROR(MAXIFS('الوحدات'!N:N, 'الوحدات'!B:B, B4), "")</f>
        <v>4</v>
      </c>
      <c r="AU4" s="33">
        <f>IFERROR(MAXIFS('الوحدات'!N:N, 'الوحدات'!B:B, B4, 'الوحدات'!M:M, "متاحة"), "")</f>
        <v>4</v>
      </c>
      <c r="AV4" s="14" t="str">
        <f t="shared" ref="AV4:AW4" si="12">AT4&amp;"-"&amp;AR4</f>
        <v>4-3</v>
      </c>
      <c r="AW4" s="14" t="str">
        <f t="shared" si="12"/>
        <v>4-3</v>
      </c>
      <c r="AX4" s="33">
        <f>IFERROR(MINIFS('الوحدات'!O:O, 'الوحدات'!B:B, B4), "")</f>
        <v>3</v>
      </c>
      <c r="AY4" s="38">
        <f>IFERROR(MINIFS('الوحدات'!O:O, 'الوحدات'!B:B, B4, 'الوحدات'!M:M, "متاحة"), "")</f>
        <v>3</v>
      </c>
      <c r="AZ4" s="38">
        <f>IFERROR(MAXIFS('الوحدات'!O:O, 'الوحدات'!B:B, B4), "")</f>
        <v>5</v>
      </c>
      <c r="BA4" s="33">
        <f>IFERROR(MAXIFS('الوحدات'!O:O, 'الوحدات'!B:B, B4, 'الوحدات'!M:M, "متاحة"), "")</f>
        <v>5</v>
      </c>
      <c r="BB4" s="14" t="str">
        <f t="shared" ref="BB4:BC4" si="13">AZ4&amp;"-"&amp;AX4</f>
        <v>5-3</v>
      </c>
      <c r="BC4" s="14" t="str">
        <f t="shared" si="13"/>
        <v>5-3</v>
      </c>
    </row>
    <row r="5">
      <c r="A5" s="25">
        <v>4.0</v>
      </c>
      <c r="B5" s="7" t="s">
        <v>101</v>
      </c>
      <c r="C5" s="26" t="s">
        <v>102</v>
      </c>
      <c r="D5" s="25"/>
      <c r="E5" s="26" t="s">
        <v>102</v>
      </c>
      <c r="F5" s="26" t="str">
        <f t="array" ref="F5">SWITCH(
XLOOKUP(B5,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5" s="26" t="str">
        <f t="array" ref="G5">SWITCH(
XLOOKUP(B5, 'المشاريع'!B:B, 'المشاريع'!G:G),
"سكني","Residential",
"تجاري","Commercial"
)
</f>
        <v>Residential</v>
      </c>
      <c r="H5" s="26" t="str">
        <f t="array" ref="H5">SUBSTITUTE(
SUBSTITUTE(
SUBSTITUTE(
SUBSTITUTE(
SUBSTITUTE(
XLOOKUP(B5,'المشاريع'!B:B,'المشاريع'!H:H),
"شقة","Apartment"),
"دور","Floor"),
"فيلا","Villa"),
"تاون هاوس","Town House"),
"-",", ")
</f>
        <v>Villa</v>
      </c>
      <c r="I5" s="27"/>
      <c r="J5" s="41" t="s">
        <v>103</v>
      </c>
      <c r="K5" s="29" t="str">
        <f t="array" ref="K5">SUBSTITUTE(
SUBSTITUTE(
SUBSTITUTE(
SUBSTITUTE(
XLOOKUP(B5, 'المشاريع'!B:B, 'المشاريع'!K:K),
"شمال","North"),
"شرق","East"),
"جنوب","South"),
"غرب","West")
</f>
        <v>East</v>
      </c>
      <c r="L5" s="39" t="s">
        <v>86</v>
      </c>
      <c r="M5" s="40" t="s">
        <v>87</v>
      </c>
      <c r="N5" s="26" t="s">
        <v>104</v>
      </c>
      <c r="O5" s="43" t="s">
        <v>105</v>
      </c>
      <c r="P5" s="44"/>
      <c r="Q5" s="44"/>
      <c r="R5" s="88" t="str">
        <f t="array" ref="R5">SUBSTITUTE(
SUBSTITUTE(
SUBSTITUTE(
SUBSTITUTE(
SUBSTITUTE(
SUBSTITUTE(
SUBSTITUTE(
SUBSTITUTE(
SUBSTITUTE(
SUBSTITUTE(
SUBSTITUTE(
XLOOKUP(B5,'المشاريع'!B:B,'المشاريع'!R:R),"صالة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Living room, Reception room</v>
      </c>
      <c r="S5" s="32">
        <f>COUNTIF('الوحدات'!B:B, B5)</f>
        <v>12</v>
      </c>
      <c r="T5" s="33">
        <f>COUNTIFS('الوحدات'!B:B, B5, 'الوحدات'!M:M, "متاحة")</f>
        <v>5</v>
      </c>
      <c r="U5" s="33">
        <f>COUNTIFS('الوحدات'!B:B, B5, 'الوحدات'!M:M, "تحت الإنشاء")</f>
        <v>0</v>
      </c>
      <c r="V5" s="33">
        <f>COUNTIFS('الوحدات'!B:B, B5, 'الوحدات'!M:M, "محجوزة")</f>
        <v>4</v>
      </c>
      <c r="W5" s="33">
        <f>COUNTIFS('الوحدات'!B:B, B5, 'الوحدات'!M:M, "مباعة")</f>
        <v>3</v>
      </c>
      <c r="X5" s="34">
        <f>IFERROR(AVERAGEIFS('الوحدات'!L:L, 'الوحدات'!B:B, B5), "")</f>
        <v>1693333.333</v>
      </c>
      <c r="Y5" s="89">
        <f>IFERROR(
ROUND(
AVERAGEIFS('الوحدات'!L:L, 'الوحدات'!B:B, B5, 'الوحدات'!M:M, "متاحة"),
2
),
""
)
</f>
        <v>1664000</v>
      </c>
      <c r="Z5" s="34">
        <f>IFERROR(SUMIFS('الوحدات'!L:L, 'الوحدات'!B:B, B5), "")</f>
        <v>20320000</v>
      </c>
      <c r="AA5" s="36">
        <f t="shared" si="5"/>
        <v>0.25</v>
      </c>
      <c r="AB5" s="34">
        <f>IFERROR(SUMIFS('الوحدات'!L:L, 'الوحدات'!B:B, B5, 'الوحدات'!M:M, "تحت الإنشاء"), "")</f>
        <v>0</v>
      </c>
      <c r="AC5" s="34">
        <f>IFERROR(SUMIFS('الوحدات'!L:L, 'الوحدات'!B:B, B5, 'الوحدات'!M:M, "متاحة"), "")</f>
        <v>8320000</v>
      </c>
      <c r="AD5" s="34">
        <f>IFERROR(SUMIFS('الوحدات'!L:L, 'الوحدات'!B:B, B5, 'الوحدات'!M:M, "محجوزة"), "")</f>
        <v>6890000</v>
      </c>
      <c r="AE5" s="34">
        <f>IFERROR(SUMIFS('الوحدات'!L:L, 'الوحدات'!B:B, B5, 'الوحدات'!M:M, "مباعة"), "")</f>
        <v>5110000</v>
      </c>
      <c r="AF5" s="34">
        <f>IFERROR(
ROUND(
VALUE(
SUBSTITUTE(
SUBSTITUTE(
MINIFS('الوحدات'!L:L,'الوحدات'!B:B,B5),
",",""),
"٬","")
),
0
),
""
)
</f>
        <v>1580000</v>
      </c>
      <c r="AG5" s="34">
        <f>IFERROR(MINIFS('الوحدات'!L:L, 'الوحدات'!B:B, B5, 'الوحدات'!M:M, "متاحة"), "")</f>
        <v>1610000</v>
      </c>
      <c r="AH5" s="34">
        <f>IFERROR(MAXIFS('الوحدات'!L:L, 'الوحدات'!B:B, B5), "")</f>
        <v>1890000</v>
      </c>
      <c r="AI5" s="34">
        <f>IFERROR(MAXIFS('الوحدات'!L:L, 'الوحدات'!B:B, B5, 'الوحدات'!M:M, "متاحة"), "")</f>
        <v>1880000</v>
      </c>
      <c r="AJ5" s="32" t="str">
        <f t="shared" ref="AJ5:AK5" si="14">AH5&amp;"-"&amp;AF5</f>
        <v>1890000-1580000</v>
      </c>
      <c r="AK5" s="37" t="str">
        <f t="shared" si="14"/>
        <v>1880000-1610000</v>
      </c>
      <c r="AL5" s="34">
        <f>IFERROR(MINIFS('الوحدات'!K:K, 'الوحدات'!B:B, B5), "")</f>
        <v>249</v>
      </c>
      <c r="AM5" s="33">
        <f>IFERROR(MINIFS('الوحدات'!K:K, 'الوحدات'!B:B, B5, 'الوحدات'!M:M, "متاحة"), "")</f>
        <v>249</v>
      </c>
      <c r="AN5" s="33">
        <f>IFERROR(MAXIFS('الوحدات'!K:K, 'الوحدات'!B:B, B5), "")</f>
        <v>282</v>
      </c>
      <c r="AO5" s="33">
        <f>IFERROR(MAXIFS('الوحدات'!K:K, 'الوحدات'!B:B, B5, 'الوحدات'!M:M, "متاحة"), "")</f>
        <v>282</v>
      </c>
      <c r="AP5" s="32" t="str">
        <f t="shared" ref="AP5:AQ5" si="15">AN5&amp;"-"&amp;AL5</f>
        <v>282-249</v>
      </c>
      <c r="AQ5" s="32" t="str">
        <f t="shared" si="15"/>
        <v>282-249</v>
      </c>
      <c r="AR5" s="33">
        <f>IFERROR(MINIFS('الوحدات'!N:N, 'الوحدات'!B:B, B5), "")</f>
        <v>4</v>
      </c>
      <c r="AS5" s="33">
        <f>IFERROR(MINIFS('الوحدات'!N:N, 'الوحدات'!B:B, B5, 'الوحدات'!M:M, "متاحة"), "")</f>
        <v>4</v>
      </c>
      <c r="AT5" s="33">
        <f>IFERROR(MAXIFS('الوحدات'!N:N, 'الوحدات'!B:B, B5), "")</f>
        <v>4</v>
      </c>
      <c r="AU5" s="33">
        <f>IFERROR(MAXIFS('الوحدات'!N:N, 'الوحدات'!B:B, B5, 'الوحدات'!M:M, "متاحة"), "")</f>
        <v>4</v>
      </c>
      <c r="AV5" s="14" t="str">
        <f t="shared" ref="AV5:AW5" si="16">AT5&amp;"-"&amp;AR5</f>
        <v>4-4</v>
      </c>
      <c r="AW5" s="14" t="str">
        <f t="shared" si="16"/>
        <v>4-4</v>
      </c>
      <c r="AX5" s="33">
        <f>IFERROR(MINIFS('الوحدات'!O:O, 'الوحدات'!B:B, B5), "")</f>
        <v>5</v>
      </c>
      <c r="AY5" s="38">
        <f>IFERROR(MINIFS('الوحدات'!O:O, 'الوحدات'!B:B, B5, 'الوحدات'!M:M, "متاحة"), "")</f>
        <v>5</v>
      </c>
      <c r="AZ5" s="38">
        <f>IFERROR(MAXIFS('الوحدات'!O:O, 'الوحدات'!B:B, B5), "")</f>
        <v>5</v>
      </c>
      <c r="BA5" s="33">
        <f>IFERROR(MAXIFS('الوحدات'!O:O, 'الوحدات'!B:B, B5, 'الوحدات'!M:M, "متاحة"), "")</f>
        <v>5</v>
      </c>
      <c r="BB5" s="14" t="str">
        <f t="shared" ref="BB5:BC5" si="17">AZ5&amp;"-"&amp;AX5</f>
        <v>5-5</v>
      </c>
      <c r="BC5" s="14" t="str">
        <f t="shared" si="17"/>
        <v>5-5</v>
      </c>
    </row>
    <row r="6">
      <c r="A6" s="90">
        <v>5.0</v>
      </c>
      <c r="B6" s="91" t="s">
        <v>106</v>
      </c>
      <c r="C6" s="92" t="s">
        <v>107</v>
      </c>
      <c r="D6" s="90"/>
      <c r="E6" s="92" t="s">
        <v>107</v>
      </c>
      <c r="F6" s="92" t="str">
        <f t="array" ref="F6">SWITCH(
XLOOKUP(B6,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6" s="92" t="str">
        <f t="array" ref="G6">SWITCH(
XLOOKUP(B6, 'المشاريع'!B:B, 'المشاريع'!G:G),
"سكني","Residential",
"تجاري","Commercial"
)
</f>
        <v>Residential</v>
      </c>
      <c r="H6" s="92" t="str">
        <f t="array" ref="H6">SUBSTITUTE(
SUBSTITUTE(
SUBSTITUTE(
SUBSTITUTE(
SUBSTITUTE(
XLOOKUP(B6,'المشاريع'!B:B,'المشاريع'!H:H),
"شقة","Apartment"),
"دور","Floor"),
"فيلا","Villa"),
"تاون هاوس","Town House"),
"-",", ")
</f>
        <v>Apartment</v>
      </c>
      <c r="I6" s="93"/>
      <c r="J6" s="94" t="s">
        <v>108</v>
      </c>
      <c r="K6" s="95" t="str">
        <f t="array" ref="K6">SUBSTITUTE(
SUBSTITUTE(
SUBSTITUTE(
SUBSTITUTE(
XLOOKUP(B6, 'المشاريع'!B:B, 'المشاريع'!K:K),
"شمال","North"),
"شرق","East"),
"جنوب","South"),
"غرب","West")
</f>
        <v>East</v>
      </c>
      <c r="L6" s="96" t="s">
        <v>86</v>
      </c>
      <c r="M6" s="97" t="s">
        <v>87</v>
      </c>
      <c r="N6" s="92" t="s">
        <v>109</v>
      </c>
      <c r="O6" s="98" t="s">
        <v>110</v>
      </c>
      <c r="P6" s="99"/>
      <c r="Q6" s="99"/>
      <c r="R6" s="100" t="str">
        <f t="array" ref="R6">SUBSTITUTE(
SUBSTITUTE(
SUBSTITUTE(
SUBSTITUTE(
SUBSTITUTE(
SUBSTITUTE(
SUBSTITUTE(
SUBSTITUTE(
SUBSTITUTE(
SUBSTITUTE(
SUBSTITUTE(
XLOOKUP(B6,'المشاريع'!B:B,'المشاريع'!R:R),"صالة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Living room, Reception room</v>
      </c>
      <c r="S6" s="101">
        <f>COUNTIF('الوحدات'!B:B, B6)</f>
        <v>13</v>
      </c>
      <c r="T6" s="102">
        <f>COUNTIFS('الوحدات'!B:B, B6, 'الوحدات'!M:M, "متاحة")</f>
        <v>6</v>
      </c>
      <c r="U6" s="102">
        <f>COUNTIFS('الوحدات'!B:B, B6, 'الوحدات'!M:M, "تحت الإنشاء")</f>
        <v>0</v>
      </c>
      <c r="V6" s="102">
        <f>COUNTIFS('الوحدات'!B:B, B6, 'الوحدات'!M:M, "محجوزة")</f>
        <v>0</v>
      </c>
      <c r="W6" s="102">
        <f>COUNTIFS('الوحدات'!B:B, B6, 'الوحدات'!M:M, "مباعة")</f>
        <v>7</v>
      </c>
      <c r="X6" s="103">
        <f>IFERROR(AVERAGEIFS('الوحدات'!L:L, 'الوحدات'!B:B, B6), "")</f>
        <v>983538.4615</v>
      </c>
      <c r="Y6" s="104">
        <f>IFERROR(
ROUND(
AVERAGEIFS('الوحدات'!L:L, 'الوحدات'!B:B, B6, 'الوحدات'!M:M, "متاحة"),
2
),
""
)
</f>
        <v>1050000</v>
      </c>
      <c r="Z6" s="103">
        <f>IFERROR(SUMIFS('الوحدات'!L:L, 'الوحدات'!B:B, B6), "")</f>
        <v>12786000</v>
      </c>
      <c r="AA6" s="105">
        <f t="shared" si="5"/>
        <v>0.51</v>
      </c>
      <c r="AB6" s="103">
        <f>IFERROR(SUMIFS('الوحدات'!L:L, 'الوحدات'!B:B, B6, 'الوحدات'!M:M, "تحت الإنشاء"), "")</f>
        <v>0</v>
      </c>
      <c r="AC6" s="103">
        <f>IFERROR(SUMIFS('الوحدات'!L:L, 'الوحدات'!B:B, B6, 'الوحدات'!M:M, "متاحة"), "")</f>
        <v>6300000</v>
      </c>
      <c r="AD6" s="103">
        <f>IFERROR(SUMIFS('الوحدات'!L:L, 'الوحدات'!B:B, B6, 'الوحدات'!M:M, "محجوزة"), "")</f>
        <v>0</v>
      </c>
      <c r="AE6" s="103">
        <f>IFERROR(SUMIFS('الوحدات'!L:L, 'الوحدات'!B:B, B6, 'الوحدات'!M:M, "مباعة"), "")</f>
        <v>6486000</v>
      </c>
      <c r="AF6" s="34">
        <f>IFERROR(
ROUND(
VALUE(
SUBSTITUTE(
SUBSTITUTE(
MINIFS('الوحدات'!L:L,'الوحدات'!B:B,B6),
",",""),
"٬","")
),
0
),
""
)
</f>
        <v>830000</v>
      </c>
      <c r="AG6" s="103">
        <f>IFERROR(MINIFS('الوحدات'!L:L, 'الوحدات'!B:B, B6, 'الوحدات'!M:M, "متاحة"), "")</f>
        <v>830000</v>
      </c>
      <c r="AH6" s="103">
        <f>IFERROR(MAXIFS('الوحدات'!L:L, 'الوحدات'!B:B, B6), "")</f>
        <v>1330000</v>
      </c>
      <c r="AI6" s="103">
        <f>IFERROR(MAXIFS('الوحدات'!L:L, 'الوحدات'!B:B, B6, 'الوحدات'!M:M, "متاحة"), "")</f>
        <v>1330000</v>
      </c>
      <c r="AJ6" s="101" t="str">
        <f t="shared" ref="AJ6:AK6" si="18">AH6&amp;"-"&amp;AF6</f>
        <v>1330000-830000</v>
      </c>
      <c r="AK6" s="106" t="str">
        <f t="shared" si="18"/>
        <v>1330000-830000</v>
      </c>
      <c r="AL6" s="103">
        <f>IFERROR(MINIFS('الوحدات'!K:K, 'الوحدات'!B:B, B6), "")</f>
        <v>143</v>
      </c>
      <c r="AM6" s="102">
        <f>IFERROR(MINIFS('الوحدات'!K:K, 'الوحدات'!B:B, B6, 'الوحدات'!M:M, "متاحة"), "")</f>
        <v>143</v>
      </c>
      <c r="AN6" s="102">
        <f>IFERROR(MAXIFS('الوحدات'!K:K, 'الوحدات'!B:B, B6), "")</f>
        <v>281</v>
      </c>
      <c r="AO6" s="102">
        <f>IFERROR(MAXIFS('الوحدات'!K:K, 'الوحدات'!B:B, B6, 'الوحدات'!M:M, "متاحة"), "")</f>
        <v>251</v>
      </c>
      <c r="AP6" s="101" t="str">
        <f t="shared" ref="AP6:AQ6" si="19">AN6&amp;"-"&amp;AL6</f>
        <v>281-143</v>
      </c>
      <c r="AQ6" s="101" t="str">
        <f t="shared" si="19"/>
        <v>251-143</v>
      </c>
      <c r="AR6" s="102">
        <f>IFERROR(MINIFS('الوحدات'!N:N, 'الوحدات'!B:B, B6), "")</f>
        <v>3</v>
      </c>
      <c r="AS6" s="102">
        <f>IFERROR(MINIFS('الوحدات'!N:N, 'الوحدات'!B:B, B6, 'الوحدات'!M:M, "متاحة"), "")</f>
        <v>3</v>
      </c>
      <c r="AT6" s="102">
        <f>IFERROR(MAXIFS('الوحدات'!N:N, 'الوحدات'!B:B, B6), "")</f>
        <v>3</v>
      </c>
      <c r="AU6" s="102">
        <f>IFERROR(MAXIFS('الوحدات'!N:N, 'الوحدات'!B:B, B6, 'الوحدات'!M:M, "متاحة"), "")</f>
        <v>3</v>
      </c>
      <c r="AV6" s="107" t="str">
        <f t="shared" ref="AV6:AW6" si="20">AT6&amp;"-"&amp;AR6</f>
        <v>3-3</v>
      </c>
      <c r="AW6" s="107" t="str">
        <f t="shared" si="20"/>
        <v>3-3</v>
      </c>
      <c r="AX6" s="102">
        <f>IFERROR(MINIFS('الوحدات'!O:O, 'الوحدات'!B:B, B6), "")</f>
        <v>4</v>
      </c>
      <c r="AY6" s="108">
        <f>IFERROR(MINIFS('الوحدات'!O:O, 'الوحدات'!B:B, B6, 'الوحدات'!M:M, "متاحة"), "")</f>
        <v>4</v>
      </c>
      <c r="AZ6" s="108">
        <f>IFERROR(MAXIFS('الوحدات'!O:O, 'الوحدات'!B:B, B6), "")</f>
        <v>4</v>
      </c>
      <c r="BA6" s="102">
        <f>IFERROR(MAXIFS('الوحدات'!O:O, 'الوحدات'!B:B, B6, 'الوحدات'!M:M, "متاحة"), "")</f>
        <v>4</v>
      </c>
      <c r="BB6" s="107" t="str">
        <f t="shared" ref="BB6:BC6" si="21">AZ6&amp;"-"&amp;AX6</f>
        <v>4-4</v>
      </c>
      <c r="BC6" s="107" t="str">
        <f t="shared" si="21"/>
        <v>4-4</v>
      </c>
    </row>
    <row r="7">
      <c r="A7" s="109">
        <v>6.0</v>
      </c>
      <c r="B7" s="110" t="s">
        <v>111</v>
      </c>
      <c r="C7" s="111" t="s">
        <v>112</v>
      </c>
      <c r="D7" s="109">
        <v>79.0</v>
      </c>
      <c r="E7" s="111" t="s">
        <v>113</v>
      </c>
      <c r="F7" s="92" t="str">
        <f t="array" ref="F7">SWITCH(
XLOOKUP(B7,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7" s="92" t="str">
        <f t="array" ref="G7">SWITCH(
XLOOKUP(B7, 'المشاريع'!B:B, 'المشاريع'!G:G),
"سكني","Residential",
"تجاري","Commercial"
)
</f>
        <v>Residential</v>
      </c>
      <c r="H7" s="92" t="str">
        <f t="array" ref="H7">SUBSTITUTE(
SUBSTITUTE(
SUBSTITUTE(
SUBSTITUTE(
SUBSTITUTE(
XLOOKUP(B7,'المشاريع'!B:B,'المشاريع'!H:H),
"شقة","Apartment"),
"دور","Floor"),
"فيلا","Villa"),
"تاون هاوس","Town House"),
"-",", ")
</f>
        <v>Villa, Floor</v>
      </c>
      <c r="I7" s="93"/>
      <c r="J7" s="112" t="s">
        <v>114</v>
      </c>
      <c r="K7" s="95" t="str">
        <f t="array" ref="K7">SUBSTITUTE(
SUBSTITUTE(
SUBSTITUTE(
SUBSTITUTE(
XLOOKUP(B7, 'المشاريع'!B:B, 'المشاريع'!K:K),
"شمال","North"),
"شرق","East"),
"جنوب","South"),
"غرب","West")
</f>
        <v>North</v>
      </c>
      <c r="L7" s="96" t="s">
        <v>86</v>
      </c>
      <c r="M7" s="97" t="s">
        <v>87</v>
      </c>
      <c r="N7" s="92" t="s">
        <v>115</v>
      </c>
      <c r="O7" s="113"/>
      <c r="P7" s="113"/>
      <c r="Q7" s="113"/>
      <c r="R7" s="100" t="str">
        <f t="array" ref="R7">SUBSTITUTE(
SUBSTITUTE(
SUBSTITUTE(
SUBSTITUTE(
SUBSTITUTE(
SUBSTITUTE(
SUBSTITUTE(
SUBSTITUTE(
SUBSTITUTE(
SUBSTITUTE(
SUBSTITUTE(
XLOOKUP(B7,'المشاريع'!B:B,'المشاريع'!R:R),"صالة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Living room, Reception room, Driver room</v>
      </c>
      <c r="S7" s="101">
        <f>COUNTIF('الوحدات'!B:B, B7)</f>
        <v>5</v>
      </c>
      <c r="T7" s="102">
        <f>COUNTIFS('الوحدات'!B:B, B7, 'الوحدات'!M:M, "متاحة")</f>
        <v>5</v>
      </c>
      <c r="U7" s="102">
        <f>COUNTIFS('الوحدات'!B:B, B7, 'الوحدات'!M:M, "تحت الإنشاء")</f>
        <v>0</v>
      </c>
      <c r="V7" s="102">
        <f>COUNTIFS('الوحدات'!B:B, B7, 'الوحدات'!M:M, "محجوزة")</f>
        <v>0</v>
      </c>
      <c r="W7" s="102">
        <f>COUNTIFS('الوحدات'!B:B, B7, 'الوحدات'!M:M, "مباعة")</f>
        <v>0</v>
      </c>
      <c r="X7" s="103">
        <f>IFERROR(AVERAGEIFS('الوحدات'!L:L, 'الوحدات'!B:B, B7), "")</f>
        <v>2690000</v>
      </c>
      <c r="Y7" s="104">
        <f>IFERROR(
ROUND(
AVERAGEIFS('الوحدات'!L:L, 'الوحدات'!B:B, B7, 'الوحدات'!M:M, "متاحة"),
2
),
""
)
</f>
        <v>2690000</v>
      </c>
      <c r="Z7" s="103">
        <f>IFERROR(SUMIFS('الوحدات'!L:L, 'الوحدات'!B:B, B7), "")</f>
        <v>13450000</v>
      </c>
      <c r="AA7" s="105">
        <f t="shared" si="5"/>
        <v>0</v>
      </c>
      <c r="AB7" s="103">
        <f>IFERROR(SUMIFS('الوحدات'!L:L, 'الوحدات'!B:B, B7, 'الوحدات'!M:M, "تحت الإنشاء"), "")</f>
        <v>0</v>
      </c>
      <c r="AC7" s="103">
        <f>IFERROR(SUMIFS('الوحدات'!L:L, 'الوحدات'!B:B, B7, 'الوحدات'!M:M, "متاحة"), "")</f>
        <v>13450000</v>
      </c>
      <c r="AD7" s="103">
        <f>IFERROR(SUMIFS('الوحدات'!L:L, 'الوحدات'!B:B, B7, 'الوحدات'!M:M, "محجوزة"), "")</f>
        <v>0</v>
      </c>
      <c r="AE7" s="103">
        <f>IFERROR(SUMIFS('الوحدات'!L:L, 'الوحدات'!B:B, B7, 'الوحدات'!M:M, "مباعة"), "")</f>
        <v>0</v>
      </c>
      <c r="AF7" s="34">
        <f>IFERROR(
ROUND(
VALUE(
SUBSTITUTE(
SUBSTITUTE(
MINIFS('الوحدات'!L:L,'الوحدات'!B:B,B7),
",",""),
"٬","")
),
0
),
""
)
</f>
        <v>1750000</v>
      </c>
      <c r="AG7" s="103">
        <f>IFERROR(MINIFS('الوحدات'!L:L, 'الوحدات'!B:B, B7, 'الوحدات'!M:M, "متاحة"), "")</f>
        <v>1750000</v>
      </c>
      <c r="AH7" s="103">
        <f>IFERROR(MAXIFS('الوحدات'!L:L, 'الوحدات'!B:B, B7), "")</f>
        <v>3900000</v>
      </c>
      <c r="AI7" s="103">
        <f>IFERROR(MAXIFS('الوحدات'!L:L, 'الوحدات'!B:B, B7, 'الوحدات'!M:M, "متاحة"), "")</f>
        <v>3900000</v>
      </c>
      <c r="AJ7" s="101" t="str">
        <f t="shared" ref="AJ7:AK7" si="22">AH7&amp;"-"&amp;AF7</f>
        <v>3900000-1750000</v>
      </c>
      <c r="AK7" s="106" t="str">
        <f t="shared" si="22"/>
        <v>3900000-1750000</v>
      </c>
      <c r="AL7" s="103">
        <f>IFERROR(MINIFS('الوحدات'!K:K, 'الوحدات'!B:B, B7), "")</f>
        <v>158</v>
      </c>
      <c r="AM7" s="102">
        <f>IFERROR(MINIFS('الوحدات'!K:K, 'الوحدات'!B:B, B7, 'الوحدات'!M:M, "متاحة"), "")</f>
        <v>158</v>
      </c>
      <c r="AN7" s="102">
        <f>IFERROR(MAXIFS('الوحدات'!K:K, 'الوحدات'!B:B, B7), "")</f>
        <v>258</v>
      </c>
      <c r="AO7" s="102">
        <f>IFERROR(MAXIFS('الوحدات'!K:K, 'الوحدات'!B:B, B7, 'الوحدات'!M:M, "متاحة"), "")</f>
        <v>258</v>
      </c>
      <c r="AP7" s="101" t="str">
        <f t="shared" ref="AP7:AQ7" si="23">AN7&amp;"-"&amp;AL7</f>
        <v>258-158</v>
      </c>
      <c r="AQ7" s="101" t="str">
        <f t="shared" si="23"/>
        <v>258-158</v>
      </c>
      <c r="AR7" s="102">
        <f>IFERROR(MINIFS('الوحدات'!N:N, 'الوحدات'!B:B, B7), "")</f>
        <v>3</v>
      </c>
      <c r="AS7" s="102">
        <f>IFERROR(MINIFS('الوحدات'!N:N, 'الوحدات'!B:B, B7, 'الوحدات'!M:M, "متاحة"), "")</f>
        <v>3</v>
      </c>
      <c r="AT7" s="102">
        <f>IFERROR(MAXIFS('الوحدات'!N:N, 'الوحدات'!B:B, B7), "")</f>
        <v>4</v>
      </c>
      <c r="AU7" s="102">
        <f>IFERROR(MAXIFS('الوحدات'!N:N, 'الوحدات'!B:B, B7, 'الوحدات'!M:M, "متاحة"), "")</f>
        <v>4</v>
      </c>
      <c r="AV7" s="107" t="str">
        <f t="shared" ref="AV7:AW7" si="24">AT7&amp;"-"&amp;AR7</f>
        <v>4-3</v>
      </c>
      <c r="AW7" s="107" t="str">
        <f t="shared" si="24"/>
        <v>4-3</v>
      </c>
      <c r="AX7" s="102">
        <f>IFERROR(MINIFS('الوحدات'!O:O, 'الوحدات'!B:B, B7), "")</f>
        <v>3</v>
      </c>
      <c r="AY7" s="108">
        <f>IFERROR(MINIFS('الوحدات'!O:O, 'الوحدات'!B:B, B7, 'الوحدات'!M:M, "متاحة"), "")</f>
        <v>3</v>
      </c>
      <c r="AZ7" s="108">
        <f>IFERROR(MAXIFS('الوحدات'!O:O, 'الوحدات'!B:B, B7), "")</f>
        <v>6</v>
      </c>
      <c r="BA7" s="102">
        <f>IFERROR(MAXIFS('الوحدات'!O:O, 'الوحدات'!B:B, B7, 'الوحدات'!M:M, "متاحة"), "")</f>
        <v>6</v>
      </c>
      <c r="BB7" s="107" t="str">
        <f t="shared" ref="BB7:BC7" si="25">AZ7&amp;"-"&amp;AX7</f>
        <v>6-3</v>
      </c>
      <c r="BC7" s="107" t="str">
        <f t="shared" si="25"/>
        <v>6-3</v>
      </c>
    </row>
    <row r="8">
      <c r="A8" s="25">
        <v>7.0</v>
      </c>
      <c r="B8" s="46" t="s">
        <v>117</v>
      </c>
      <c r="C8" s="47" t="s">
        <v>118</v>
      </c>
      <c r="D8" s="45">
        <v>106.0</v>
      </c>
      <c r="E8" s="47" t="s">
        <v>119</v>
      </c>
      <c r="F8" s="26" t="str">
        <f t="array" ref="F8">SWITCH(
XLOOKUP(B8,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8" s="26" t="str">
        <f t="array" ref="G8">SWITCH(
XLOOKUP(B8, 'المشاريع'!B:B, 'المشاريع'!G:G),
"سكني","Residential",
"تجاري","Commercial"
)
</f>
        <v>Residential</v>
      </c>
      <c r="H8" s="26" t="str">
        <f t="array" ref="H8">SUBSTITUTE(
SUBSTITUTE(
SUBSTITUTE(
SUBSTITUTE(
SUBSTITUTE(
XLOOKUP(B8,'المشاريع'!B:B,'المشاريع'!H:H),
"شقة","Apartment"),
"دور","Floor"),
"فيلا","Villa"),
"تاون هاوس","Town House"),
"-",", ")
</f>
        <v>Floor</v>
      </c>
      <c r="I8" s="27"/>
      <c r="J8" s="48" t="s">
        <v>120</v>
      </c>
      <c r="K8" s="29" t="str">
        <f t="array" ref="K8">SUBSTITUTE(
SUBSTITUTE(
SUBSTITUTE(
SUBSTITUTE(
XLOOKUP(B8, 'المشاريع'!B:B, 'المشاريع'!K:K),
"شمال","North"),
"شرق","East"),
"جنوب","South"),
"غرب","West")
</f>
        <v>East</v>
      </c>
      <c r="L8" s="52"/>
      <c r="M8" s="27" t="s">
        <v>87</v>
      </c>
      <c r="N8" s="26" t="s">
        <v>99</v>
      </c>
      <c r="O8" s="50" t="s">
        <v>121</v>
      </c>
      <c r="P8" s="50"/>
      <c r="Q8" s="50"/>
      <c r="R8" s="88" t="str">
        <f t="array" ref="R8">SUBSTITUTE(
SUBSTITUTE(
SUBSTITUTE(
SUBSTITUTE(
SUBSTITUTE(
SUBSTITUTE(
SUBSTITUTE(
SUBSTITUTE(
SUBSTITUTE(
SUBSTITUTE(
SUBSTITUTE(
XLOOKUP(B8,'المشاريع'!B:B,'المشاريع'!R:R),"صالة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Reception room, Dining room, Maid room, Balcony</v>
      </c>
      <c r="S8" s="32">
        <f>COUNTIF('الوحدات'!B:B, B8)</f>
        <v>2</v>
      </c>
      <c r="T8" s="33">
        <f>COUNTIFS('الوحدات'!B:B, B8, 'الوحدات'!M:M, "متاحة")</f>
        <v>0</v>
      </c>
      <c r="U8" s="33">
        <f>COUNTIFS('الوحدات'!B:B, B8, 'الوحدات'!M:M, "تحت الإنشاء")</f>
        <v>2</v>
      </c>
      <c r="V8" s="33">
        <f>COUNTIFS('الوحدات'!B:B, B8, 'الوحدات'!M:M, "محجوزة")</f>
        <v>0</v>
      </c>
      <c r="W8" s="33">
        <f>COUNTIFS('الوحدات'!B:B, B8, 'الوحدات'!M:M, "مباعة")</f>
        <v>0</v>
      </c>
      <c r="X8" s="34">
        <f>IFERROR(AVERAGEIFS('الوحدات'!L:L, 'الوحدات'!B:B, B8), "")</f>
        <v>1424000</v>
      </c>
      <c r="Y8" s="89" t="str">
        <f>IFERROR(
ROUND(
AVERAGEIFS('الوحدات'!L:L, 'الوحدات'!B:B, B8, 'الوحدات'!M:M, "متاحة"),
2
),
""
)
</f>
        <v/>
      </c>
      <c r="Z8" s="34">
        <f>IFERROR(SUMIFS('الوحدات'!L:L, 'الوحدات'!B:B, B8), "")</f>
        <v>2848000</v>
      </c>
      <c r="AA8" s="36">
        <f t="shared" si="5"/>
        <v>0</v>
      </c>
      <c r="AB8" s="34">
        <f>IFERROR(SUMIFS('الوحدات'!L:L, 'الوحدات'!B:B, B8, 'الوحدات'!M:M, "تحت الإنشاء"), "")</f>
        <v>2848000</v>
      </c>
      <c r="AC8" s="34">
        <f>IFERROR(SUMIFS('الوحدات'!L:L, 'الوحدات'!B:B, B8, 'الوحدات'!M:M, "متاحة"), "")</f>
        <v>0</v>
      </c>
      <c r="AD8" s="34">
        <f>IFERROR(SUMIFS('الوحدات'!L:L, 'الوحدات'!B:B, B8, 'الوحدات'!M:M, "محجوزة"), "")</f>
        <v>0</v>
      </c>
      <c r="AE8" s="34">
        <f>IFERROR(SUMIFS('الوحدات'!L:L, 'الوحدات'!B:B, B8, 'الوحدات'!M:M, "مباعة"), "")</f>
        <v>0</v>
      </c>
      <c r="AF8" s="34">
        <f>IFERROR(
ROUND(
VALUE(
SUBSTITUTE(
SUBSTITUTE(
MINIFS('الوحدات'!L:L,'الوحدات'!B:B,B8),
",",""),
"٬","")
),
0
),
""
)
</f>
        <v>1399000</v>
      </c>
      <c r="AG8" s="34">
        <f>IFERROR(MINIFS('الوحدات'!L:L, 'الوحدات'!B:B, B8, 'الوحدات'!M:M, "متاحة"), "")</f>
        <v>0</v>
      </c>
      <c r="AH8" s="34">
        <f>IFERROR(MAXIFS('الوحدات'!L:L, 'الوحدات'!B:B, B8), "")</f>
        <v>1449000</v>
      </c>
      <c r="AI8" s="34">
        <f>IFERROR(MAXIFS('الوحدات'!L:L, 'الوحدات'!B:B, B8, 'الوحدات'!M:M, "متاحة"), "")</f>
        <v>0</v>
      </c>
      <c r="AJ8" s="32" t="str">
        <f t="shared" ref="AJ8:AK8" si="26">AH8&amp;"-"&amp;AF8</f>
        <v>1449000-1399000</v>
      </c>
      <c r="AK8" s="37" t="str">
        <f t="shared" si="26"/>
        <v>0-0</v>
      </c>
      <c r="AL8" s="34">
        <f>IFERROR(MINIFS('الوحدات'!K:K, 'الوحدات'!B:B, B8), "")</f>
        <v>170</v>
      </c>
      <c r="AM8" s="33">
        <f>IFERROR(MINIFS('الوحدات'!K:K, 'الوحدات'!B:B, B8, 'الوحدات'!M:M, "متاحة"), "")</f>
        <v>0</v>
      </c>
      <c r="AN8" s="33">
        <f>IFERROR(MAXIFS('الوحدات'!K:K, 'الوحدات'!B:B, B8), "")</f>
        <v>170</v>
      </c>
      <c r="AO8" s="33">
        <f>IFERROR(MAXIFS('الوحدات'!K:K, 'الوحدات'!B:B, B8, 'الوحدات'!M:M, "متاحة"), "")</f>
        <v>0</v>
      </c>
      <c r="AP8" s="32" t="str">
        <f t="shared" ref="AP8:AQ8" si="27">AN8&amp;"-"&amp;AL8</f>
        <v>170-170</v>
      </c>
      <c r="AQ8" s="32" t="str">
        <f t="shared" si="27"/>
        <v>0-0</v>
      </c>
      <c r="AR8" s="33">
        <f>IFERROR(MINIFS('الوحدات'!N:N, 'الوحدات'!B:B, B8), "")</f>
        <v>3</v>
      </c>
      <c r="AS8" s="33">
        <f>IFERROR(MINIFS('الوحدات'!N:N, 'الوحدات'!B:B, B8, 'الوحدات'!M:M, "متاحة"), "")</f>
        <v>0</v>
      </c>
      <c r="AT8" s="33">
        <f>IFERROR(MAXIFS('الوحدات'!N:N, 'الوحدات'!B:B, B8), "")</f>
        <v>3</v>
      </c>
      <c r="AU8" s="33">
        <f>IFERROR(MAXIFS('الوحدات'!N:N, 'الوحدات'!B:B, B8, 'الوحدات'!M:M, "متاحة"), "")</f>
        <v>0</v>
      </c>
      <c r="AV8" s="14" t="str">
        <f t="shared" ref="AV8:AW8" si="28">AT8&amp;"-"&amp;AR8</f>
        <v>3-3</v>
      </c>
      <c r="AW8" s="14" t="str">
        <f t="shared" si="28"/>
        <v>0-0</v>
      </c>
      <c r="AX8" s="33">
        <f>IFERROR(MINIFS('الوحدات'!O:O, 'الوحدات'!B:B, B8), "")</f>
        <v>4</v>
      </c>
      <c r="AY8" s="38">
        <f>IFERROR(MINIFS('الوحدات'!O:O, 'الوحدات'!B:B, B8, 'الوحدات'!M:M, "متاحة"), "")</f>
        <v>0</v>
      </c>
      <c r="AZ8" s="38">
        <f>IFERROR(MAXIFS('الوحدات'!O:O, 'الوحدات'!B:B, B8), "")</f>
        <v>4</v>
      </c>
      <c r="BA8" s="33">
        <f>IFERROR(MAXIFS('الوحدات'!O:O, 'الوحدات'!B:B, B8, 'الوحدات'!M:M, "متاحة"), "")</f>
        <v>0</v>
      </c>
      <c r="BB8" s="14" t="str">
        <f t="shared" ref="BB8:BC8" si="29">AZ8&amp;"-"&amp;AX8</f>
        <v>4-4</v>
      </c>
      <c r="BC8" s="14" t="str">
        <f t="shared" si="29"/>
        <v>0-0</v>
      </c>
    </row>
    <row r="9">
      <c r="A9" s="45">
        <v>8.0</v>
      </c>
      <c r="B9" s="53" t="s">
        <v>123</v>
      </c>
      <c r="C9" s="26" t="s">
        <v>118</v>
      </c>
      <c r="D9" s="25">
        <v>108.0</v>
      </c>
      <c r="E9" s="26" t="s">
        <v>124</v>
      </c>
      <c r="F9" s="26" t="str">
        <f t="array" ref="F9">SWITCH(
XLOOKUP(B9,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9" s="26" t="str">
        <f t="array" ref="G9">SWITCH(
XLOOKUP(B9, 'المشاريع'!B:B, 'المشاريع'!G:G),
"سكني","Residential",
"تجاري","Commercial"
)
</f>
        <v>Residential</v>
      </c>
      <c r="H9" s="26" t="str">
        <f t="array" ref="H9">SUBSTITUTE(
SUBSTITUTE(
SUBSTITUTE(
SUBSTITUTE(
SUBSTITUTE(
XLOOKUP(B9,'المشاريع'!B:B,'المشاريع'!H:H),
"شقة","Apartment"),
"دور","Floor"),
"فيلا","Villa"),
"تاون هاوس","Town House"),
"-",", ")
</f>
        <v>Floor</v>
      </c>
      <c r="I9" s="27"/>
      <c r="J9" s="28" t="s">
        <v>125</v>
      </c>
      <c r="K9" s="29" t="str">
        <f t="array" ref="K9">SUBSTITUTE(
SUBSTITUTE(
SUBSTITUTE(
SUBSTITUTE(
XLOOKUP(B9, 'المشاريع'!B:B, 'المشاريع'!K:K),
"شمال","North"),
"شرق","East"),
"جنوب","South"),
"غرب","West")
</f>
        <v>East</v>
      </c>
      <c r="L9" s="39" t="s">
        <v>86</v>
      </c>
      <c r="M9" s="40" t="s">
        <v>87</v>
      </c>
      <c r="N9" s="26" t="s">
        <v>126</v>
      </c>
      <c r="O9" s="54" t="s">
        <v>127</v>
      </c>
      <c r="P9" s="55"/>
      <c r="Q9" s="55"/>
      <c r="R9" s="88" t="str">
        <f t="array" ref="R9">SUBSTITUTE(
SUBSTITUTE(
SUBSTITUTE(
SUBSTITUTE(
SUBSTITUTE(
SUBSTITUTE(
SUBSTITUTE(
SUBSTITUTE(
SUBSTITUTE(
SUBSTITUTE(
SUBSTITUTE(
XLOOKUP(B9,'المشاريع'!B:B,'المشاريع'!R:R),"صالة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Reception room, Dining room, Maid room, Balcony, Outdoor courtyard, Utility room, Laundry room, Living room</v>
      </c>
      <c r="S9" s="32">
        <f>COUNTIF('الوحدات'!B:B, B9)</f>
        <v>6</v>
      </c>
      <c r="T9" s="33">
        <f>COUNTIFS('الوحدات'!B:B, B9, 'الوحدات'!M:M, "متاحة")</f>
        <v>0</v>
      </c>
      <c r="U9" s="33">
        <f>COUNTIFS('الوحدات'!B:B, B9, 'الوحدات'!M:M, "تحت الإنشاء")</f>
        <v>6</v>
      </c>
      <c r="V9" s="33">
        <f>COUNTIFS('الوحدات'!B:B, B9, 'الوحدات'!M:M, "محجوزة")</f>
        <v>0</v>
      </c>
      <c r="W9" s="33">
        <f>COUNTIFS('الوحدات'!B:B, B9, 'الوحدات'!M:M, "مباعة")</f>
        <v>0</v>
      </c>
      <c r="X9" s="34">
        <f>IFERROR(AVERAGEIFS('الوحدات'!L:L, 'الوحدات'!B:B, B9), "")</f>
        <v>1532333.333</v>
      </c>
      <c r="Y9" s="89" t="str">
        <f>IFERROR(
ROUND(
AVERAGEIFS('الوحدات'!L:L, 'الوحدات'!B:B, B9, 'الوحدات'!M:M, "متاحة"),
2
),
""
)
</f>
        <v/>
      </c>
      <c r="Z9" s="34">
        <f>IFERROR(SUMIFS('الوحدات'!L:L, 'الوحدات'!B:B, B9), "")</f>
        <v>9194000</v>
      </c>
      <c r="AA9" s="36">
        <f t="shared" si="5"/>
        <v>0</v>
      </c>
      <c r="AB9" s="34">
        <f>IFERROR(SUMIFS('الوحدات'!L:L, 'الوحدات'!B:B, B9, 'الوحدات'!M:M, "تحت الإنشاء"), "")</f>
        <v>9194000</v>
      </c>
      <c r="AC9" s="34">
        <f>IFERROR(SUMIFS('الوحدات'!L:L, 'الوحدات'!B:B, B9, 'الوحدات'!M:M, "متاحة"), "")</f>
        <v>0</v>
      </c>
      <c r="AD9" s="34">
        <f>IFERROR(SUMIFS('الوحدات'!L:L, 'الوحدات'!B:B, B9, 'الوحدات'!M:M, "محجوزة"), "")</f>
        <v>0</v>
      </c>
      <c r="AE9" s="34">
        <f>IFERROR(SUMIFS('الوحدات'!L:L, 'الوحدات'!B:B, B9, 'الوحدات'!M:M, "مباعة"), "")</f>
        <v>0</v>
      </c>
      <c r="AF9" s="34">
        <f>IFERROR(
ROUND(
VALUE(
SUBSTITUTE(
SUBSTITUTE(
MINIFS('الوحدات'!L:L,'الوحدات'!B:B,B9),
",",""),
"٬","")
),
0
),
""
)
</f>
        <v>1349000</v>
      </c>
      <c r="AG9" s="34">
        <f>IFERROR(MINIFS('الوحدات'!L:L, 'الوحدات'!B:B, B9, 'الوحدات'!M:M, "متاحة"), "")</f>
        <v>0</v>
      </c>
      <c r="AH9" s="34">
        <f>IFERROR(MAXIFS('الوحدات'!L:L, 'الوحدات'!B:B, B9), "")</f>
        <v>1699000</v>
      </c>
      <c r="AI9" s="34">
        <f>IFERROR(MAXIFS('الوحدات'!L:L, 'الوحدات'!B:B, B9, 'الوحدات'!M:M, "متاحة"), "")</f>
        <v>0</v>
      </c>
      <c r="AJ9" s="32" t="str">
        <f t="shared" ref="AJ9:AK9" si="30">AH9&amp;"-"&amp;AF9</f>
        <v>1699000-1349000</v>
      </c>
      <c r="AK9" s="37" t="str">
        <f t="shared" si="30"/>
        <v>0-0</v>
      </c>
      <c r="AL9" s="34">
        <f>IFERROR(MINIFS('الوحدات'!K:K, 'الوحدات'!B:B, B9), "")</f>
        <v>154</v>
      </c>
      <c r="AM9" s="33">
        <f>IFERROR(MINIFS('الوحدات'!K:K, 'الوحدات'!B:B, B9, 'الوحدات'!M:M, "متاحة"), "")</f>
        <v>0</v>
      </c>
      <c r="AN9" s="33">
        <f>IFERROR(MAXIFS('الوحدات'!K:K, 'الوحدات'!B:B, B9), "")</f>
        <v>179</v>
      </c>
      <c r="AO9" s="33">
        <f>IFERROR(MAXIFS('الوحدات'!K:K, 'الوحدات'!B:B, B9, 'الوحدات'!M:M, "متاحة"), "")</f>
        <v>0</v>
      </c>
      <c r="AP9" s="32" t="str">
        <f t="shared" ref="AP9:AQ9" si="31">AN9&amp;"-"&amp;AL9</f>
        <v>179-154</v>
      </c>
      <c r="AQ9" s="32" t="str">
        <f t="shared" si="31"/>
        <v>0-0</v>
      </c>
      <c r="AR9" s="33">
        <f>IFERROR(MINIFS('الوحدات'!N:N, 'الوحدات'!B:B, B9), "")</f>
        <v>3</v>
      </c>
      <c r="AS9" s="33">
        <f>IFERROR(MINIFS('الوحدات'!N:N, 'الوحدات'!B:B, B9, 'الوحدات'!M:M, "متاحة"), "")</f>
        <v>0</v>
      </c>
      <c r="AT9" s="33">
        <f>IFERROR(MAXIFS('الوحدات'!N:N, 'الوحدات'!B:B, B9), "")</f>
        <v>3</v>
      </c>
      <c r="AU9" s="33">
        <f>IFERROR(MAXIFS('الوحدات'!N:N, 'الوحدات'!B:B, B9, 'الوحدات'!M:M, "متاحة"), "")</f>
        <v>0</v>
      </c>
      <c r="AV9" s="14" t="str">
        <f t="shared" ref="AV9:AW9" si="32">AT9&amp;"-"&amp;AR9</f>
        <v>3-3</v>
      </c>
      <c r="AW9" s="14" t="str">
        <f t="shared" si="32"/>
        <v>0-0</v>
      </c>
      <c r="AX9" s="33">
        <f>IFERROR(MINIFS('الوحدات'!O:O, 'الوحدات'!B:B, B9), "")</f>
        <v>3</v>
      </c>
      <c r="AY9" s="38">
        <f>IFERROR(MINIFS('الوحدات'!O:O, 'الوحدات'!B:B, B9, 'الوحدات'!M:M, "متاحة"), "")</f>
        <v>0</v>
      </c>
      <c r="AZ9" s="38">
        <f>IFERROR(MAXIFS('الوحدات'!O:O, 'الوحدات'!B:B, B9), "")</f>
        <v>5</v>
      </c>
      <c r="BA9" s="33">
        <f>IFERROR(MAXIFS('الوحدات'!O:O, 'الوحدات'!B:B, B9, 'الوحدات'!M:M, "متاحة"), "")</f>
        <v>0</v>
      </c>
      <c r="BB9" s="14" t="str">
        <f t="shared" ref="BB9:BC9" si="33">AZ9&amp;"-"&amp;AX9</f>
        <v>5-3</v>
      </c>
      <c r="BC9" s="14" t="str">
        <f t="shared" si="33"/>
        <v>0-0</v>
      </c>
    </row>
    <row r="10">
      <c r="A10" s="25">
        <v>9.0</v>
      </c>
      <c r="B10" s="53" t="s">
        <v>129</v>
      </c>
      <c r="C10" s="26" t="s">
        <v>118</v>
      </c>
      <c r="D10" s="25">
        <v>120.0</v>
      </c>
      <c r="E10" s="26" t="s">
        <v>130</v>
      </c>
      <c r="F10" s="26" t="str">
        <f t="array" ref="F10">SWITCH(
XLOOKUP(B10,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10" s="26" t="str">
        <f t="array" ref="G10">SWITCH(
XLOOKUP(B10, 'المشاريع'!B:B, 'المشاريع'!G:G),
"سكني","Residential",
"تجاري","Commercial"
)
</f>
        <v>Residential</v>
      </c>
      <c r="H10" s="26" t="str">
        <f t="array" ref="H10">SUBSTITUTE(
SUBSTITUTE(
SUBSTITUTE(
SUBSTITUTE(
SUBSTITUTE(
XLOOKUP(B10,'المشاريع'!B:B,'المشاريع'!H:H),
"شقة","Apartment"),
"دور","Floor"),
"فيلا","Villa"),
"تاون هاوس","Town House"),
"-",", ")
</f>
        <v>Apartment</v>
      </c>
      <c r="I10" s="27"/>
      <c r="J10" s="28" t="s">
        <v>131</v>
      </c>
      <c r="K10" s="29" t="str">
        <f t="array" ref="K10">SUBSTITUTE(
SUBSTITUTE(
SUBSTITUTE(
SUBSTITUTE(
XLOOKUP(B10, 'المشاريع'!B:B, 'المشاريع'!K:K),
"شمال","North"),
"شرق","East"),
"جنوب","South"),
"غرب","West")
</f>
        <v>North</v>
      </c>
      <c r="L10" s="39" t="s">
        <v>86</v>
      </c>
      <c r="M10" s="40" t="s">
        <v>87</v>
      </c>
      <c r="N10" s="26" t="s">
        <v>132</v>
      </c>
      <c r="O10" s="17" t="s">
        <v>133</v>
      </c>
      <c r="P10" s="17"/>
      <c r="Q10" s="17"/>
      <c r="R10" s="88" t="str">
        <f t="array" ref="R10">SUBSTITUTE(
SUBSTITUTE(
SUBSTITUTE(
SUBSTITUTE(
SUBSTITUTE(
SUBSTITUTE(
SUBSTITUTE(
SUBSTITUTE(
SUBSTITUTE(
SUBSTITUTE(
SUBSTITUTE(
XLOOKUP(B10,'المشاريع'!B:B,'المشاريع'!R:R),"صالة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Utility room, Living room, Outdoor courtyard, Balcony</v>
      </c>
      <c r="S10" s="32">
        <f>COUNTIF('الوحدات'!B:B, B10)</f>
        <v>6</v>
      </c>
      <c r="T10" s="33">
        <f>COUNTIFS('الوحدات'!B:B, B10, 'الوحدات'!M:M, "متاحة")</f>
        <v>0</v>
      </c>
      <c r="U10" s="33">
        <f>COUNTIFS('الوحدات'!B:B, B10, 'الوحدات'!M:M, "تحت الإنشاء")</f>
        <v>6</v>
      </c>
      <c r="V10" s="33">
        <f>COUNTIFS('الوحدات'!B:B, B10, 'الوحدات'!M:M, "محجوزة")</f>
        <v>0</v>
      </c>
      <c r="W10" s="33">
        <f>COUNTIFS('الوحدات'!B:B, B10, 'الوحدات'!M:M, "مباعة")</f>
        <v>0</v>
      </c>
      <c r="X10" s="34">
        <f>IFERROR(AVERAGEIFS('الوحدات'!L:L, 'الوحدات'!B:B, B10), "")</f>
        <v>1967333.333</v>
      </c>
      <c r="Y10" s="89" t="str">
        <f>IFERROR(
ROUND(
AVERAGEIFS('الوحدات'!L:L, 'الوحدات'!B:B, B10, 'الوحدات'!M:M, "متاحة"),
2
),
""
)
</f>
        <v/>
      </c>
      <c r="Z10" s="34">
        <f>IFERROR(SUMIFS('الوحدات'!L:L, 'الوحدات'!B:B, B10), "")</f>
        <v>11804000</v>
      </c>
      <c r="AA10" s="36">
        <f t="shared" si="5"/>
        <v>0</v>
      </c>
      <c r="AB10" s="34">
        <f>IFERROR(SUMIFS('الوحدات'!L:L, 'الوحدات'!B:B, B10, 'الوحدات'!M:M, "تحت الإنشاء"), "")</f>
        <v>11804000</v>
      </c>
      <c r="AC10" s="34">
        <f>IFERROR(SUMIFS('الوحدات'!L:L, 'الوحدات'!B:B, B10, 'الوحدات'!M:M, "متاحة"), "")</f>
        <v>0</v>
      </c>
      <c r="AD10" s="34">
        <f>IFERROR(SUMIFS('الوحدات'!L:L, 'الوحدات'!B:B, B10, 'الوحدات'!M:M, "محجوزة"), "")</f>
        <v>0</v>
      </c>
      <c r="AE10" s="34">
        <f>IFERROR(SUMIFS('الوحدات'!L:L, 'الوحدات'!B:B, B10, 'الوحدات'!M:M, "مباعة"), "")</f>
        <v>0</v>
      </c>
      <c r="AF10" s="34">
        <f>IFERROR(
ROUND(
VALUE(
SUBSTITUTE(
SUBSTITUTE(
MINIFS('الوحدات'!L:L,'الوحدات'!B:B,B10),
",",""),
"٬","")
),
0
),
""
)
</f>
        <v>1799000</v>
      </c>
      <c r="AG10" s="34">
        <f>IFERROR(MINIFS('الوحدات'!L:L, 'الوحدات'!B:B, B10, 'الوحدات'!M:M, "متاحة"), "")</f>
        <v>0</v>
      </c>
      <c r="AH10" s="34">
        <f>IFERROR(MAXIFS('الوحدات'!L:L, 'الوحدات'!B:B, B10), "")</f>
        <v>2149000</v>
      </c>
      <c r="AI10" s="34">
        <f>IFERROR(MAXIFS('الوحدات'!L:L, 'الوحدات'!B:B, B10, 'الوحدات'!M:M, "متاحة"), "")</f>
        <v>0</v>
      </c>
      <c r="AJ10" s="32" t="str">
        <f t="shared" ref="AJ10:AK10" si="34">AH10&amp;"-"&amp;AF10</f>
        <v>2149000-1799000</v>
      </c>
      <c r="AK10" s="37" t="str">
        <f t="shared" si="34"/>
        <v>0-0</v>
      </c>
      <c r="AL10" s="34">
        <f>IFERROR(MINIFS('الوحدات'!K:K, 'الوحدات'!B:B, B10), "")</f>
        <v>136</v>
      </c>
      <c r="AM10" s="33">
        <f>IFERROR(MINIFS('الوحدات'!K:K, 'الوحدات'!B:B, B10, 'الوحدات'!M:M, "متاحة"), "")</f>
        <v>0</v>
      </c>
      <c r="AN10" s="33">
        <f>IFERROR(MAXIFS('الوحدات'!K:K, 'الوحدات'!B:B, B10), "")</f>
        <v>136</v>
      </c>
      <c r="AO10" s="33">
        <f>IFERROR(MAXIFS('الوحدات'!K:K, 'الوحدات'!B:B, B10, 'الوحدات'!M:M, "متاحة"), "")</f>
        <v>0</v>
      </c>
      <c r="AP10" s="32" t="str">
        <f t="shared" ref="AP10:AQ10" si="35">AN10&amp;"-"&amp;AL10</f>
        <v>136-136</v>
      </c>
      <c r="AQ10" s="32" t="str">
        <f t="shared" si="35"/>
        <v>0-0</v>
      </c>
      <c r="AR10" s="33">
        <f>IFERROR(MINIFS('الوحدات'!N:N, 'الوحدات'!B:B, B10), "")</f>
        <v>3</v>
      </c>
      <c r="AS10" s="33">
        <f>IFERROR(MINIFS('الوحدات'!N:N, 'الوحدات'!B:B, B10, 'الوحدات'!M:M, "متاحة"), "")</f>
        <v>0</v>
      </c>
      <c r="AT10" s="33">
        <f>IFERROR(MAXIFS('الوحدات'!N:N, 'الوحدات'!B:B, B10), "")</f>
        <v>3</v>
      </c>
      <c r="AU10" s="33">
        <f>IFERROR(MAXIFS('الوحدات'!N:N, 'الوحدات'!B:B, B10, 'الوحدات'!M:M, "متاحة"), "")</f>
        <v>0</v>
      </c>
      <c r="AV10" s="14" t="str">
        <f t="shared" ref="AV10:AW10" si="36">AT10&amp;"-"&amp;AR10</f>
        <v>3-3</v>
      </c>
      <c r="AW10" s="14" t="str">
        <f t="shared" si="36"/>
        <v>0-0</v>
      </c>
      <c r="AX10" s="33">
        <f>IFERROR(MINIFS('الوحدات'!O:O, 'الوحدات'!B:B, B10), "")</f>
        <v>3</v>
      </c>
      <c r="AY10" s="38">
        <f>IFERROR(MINIFS('الوحدات'!O:O, 'الوحدات'!B:B, B10, 'الوحدات'!M:M, "متاحة"), "")</f>
        <v>0</v>
      </c>
      <c r="AZ10" s="38">
        <f>IFERROR(MAXIFS('الوحدات'!O:O, 'الوحدات'!B:B, B10), "")</f>
        <v>3</v>
      </c>
      <c r="BA10" s="33">
        <f>IFERROR(MAXIFS('الوحدات'!O:O, 'الوحدات'!B:B, B10, 'الوحدات'!M:M, "متاحة"), "")</f>
        <v>0</v>
      </c>
      <c r="BB10" s="14" t="str">
        <f t="shared" ref="BB10:BC10" si="37">AZ10&amp;"-"&amp;AX10</f>
        <v>3-3</v>
      </c>
      <c r="BC10" s="14" t="str">
        <f t="shared" si="37"/>
        <v>0-0</v>
      </c>
    </row>
    <row r="11">
      <c r="A11" s="109">
        <v>10.0</v>
      </c>
      <c r="B11" s="114" t="s">
        <v>135</v>
      </c>
      <c r="C11" s="115" t="s">
        <v>136</v>
      </c>
      <c r="D11" s="115">
        <v>21.0</v>
      </c>
      <c r="E11" s="115" t="s">
        <v>137</v>
      </c>
      <c r="F11" s="92" t="str">
        <f t="array" ref="F11">SWITCH(
XLOOKUP(B11,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11" s="92" t="str">
        <f t="array" ref="G11">SWITCH(
XLOOKUP(B11, 'المشاريع'!B:B, 'المشاريع'!G:G),
"سكني","Residential",
"تجاري","Commercial"
)
</f>
        <v>Residential</v>
      </c>
      <c r="H11" s="92" t="str">
        <f t="array" ref="H11">SUBSTITUTE(
SUBSTITUTE(
SUBSTITUTE(
SUBSTITUTE(
SUBSTITUTE(
XLOOKUP(B11,'المشاريع'!B:B,'المشاريع'!H:H),
"شقة","Apartment"),
"دور","Floor"),
"فيلا","Villa"),
"تاون هاوس","Town House"),
"-",", ")
</f>
        <v>Floor</v>
      </c>
      <c r="I11" s="93"/>
      <c r="J11" s="116" t="s">
        <v>138</v>
      </c>
      <c r="K11" s="95" t="str">
        <f t="array" ref="K11">SUBSTITUTE(
SUBSTITUTE(
SUBSTITUTE(
SUBSTITUTE(
XLOOKUP(B11, 'المشاريع'!B:B, 'المشاريع'!K:K),
"شمال","North"),
"شرق","East"),
"جنوب","South"),
"غرب","West")
</f>
        <v>North</v>
      </c>
      <c r="L11" s="117" t="s">
        <v>86</v>
      </c>
      <c r="M11" s="117" t="s">
        <v>87</v>
      </c>
      <c r="N11" s="115" t="s">
        <v>139</v>
      </c>
      <c r="O11" s="115"/>
      <c r="P11" s="115"/>
      <c r="Q11" s="115"/>
      <c r="R11" s="100" t="str">
        <f t="array" ref="R11">SUBSTITUTE(
SUBSTITUTE(
SUBSTITUTE(
SUBSTITUTE(
SUBSTITUTE(
SUBSTITUTE(
SUBSTITUTE(
SUBSTITUTE(
SUBSTITUTE(
SUBSTITUTE(
SUBSTITUTE(
XLOOKUP(B11,'المشاريع'!B:B,'المشاريع'!R:R),"صالة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11" s="101">
        <f>COUNTIF('الوحدات'!B:B, B11)</f>
        <v>6</v>
      </c>
      <c r="T11" s="102">
        <f>COUNTIFS('الوحدات'!B:B, B11, 'الوحدات'!M:M, "متاحة")</f>
        <v>5</v>
      </c>
      <c r="U11" s="102">
        <f>COUNTIFS('الوحدات'!B:B, B11, 'الوحدات'!M:M, "تحت الإنشاء")</f>
        <v>0</v>
      </c>
      <c r="V11" s="102">
        <f>COUNTIFS('الوحدات'!B:B, B11, 'الوحدات'!M:M, "محجوزة")</f>
        <v>0</v>
      </c>
      <c r="W11" s="102">
        <f>COUNTIFS('الوحدات'!B:B, B11, 'الوحدات'!M:M, "مباعة")</f>
        <v>1</v>
      </c>
      <c r="X11" s="103">
        <f>IFERROR(AVERAGEIFS('الوحدات'!L:L, 'الوحدات'!B:B, B11), "")</f>
        <v>1507000</v>
      </c>
      <c r="Y11" s="104">
        <f>IFERROR(
ROUND(
AVERAGEIFS('الوحدات'!L:L, 'الوحدات'!B:B, B11, 'الوحدات'!M:M, "متاحة"),
2
),
""
)
</f>
        <v>1507000</v>
      </c>
      <c r="Z11" s="103">
        <f>IFERROR(SUMIFS('الوحدات'!L:L, 'الوحدات'!B:B, B11), "")</f>
        <v>7535000</v>
      </c>
      <c r="AA11" s="105">
        <f t="shared" si="5"/>
        <v>0</v>
      </c>
      <c r="AB11" s="103">
        <f>IFERROR(SUMIFS('الوحدات'!L:L, 'الوحدات'!B:B, B11, 'الوحدات'!M:M, "تحت الإنشاء"), "")</f>
        <v>0</v>
      </c>
      <c r="AC11" s="103">
        <f>IFERROR(SUMIFS('الوحدات'!L:L, 'الوحدات'!B:B, B11, 'الوحدات'!M:M, "متاحة"), "")</f>
        <v>7535000</v>
      </c>
      <c r="AD11" s="103">
        <f>IFERROR(SUMIFS('الوحدات'!L:L, 'الوحدات'!B:B, B11, 'الوحدات'!M:M, "محجوزة"), "")</f>
        <v>0</v>
      </c>
      <c r="AE11" s="103">
        <f>IFERROR(SUMIFS('الوحدات'!L:L, 'الوحدات'!B:B, B11, 'الوحدات'!M:M, "مباعة"), "")</f>
        <v>0</v>
      </c>
      <c r="AF11" s="34">
        <f>IFERROR(
ROUND(
VALUE(
SUBSTITUTE(
SUBSTITUTE(
MINIFS('الوحدات'!L:L,'الوحدات'!B:B,B11),
",",""),
"٬","")
),
0
),
""
)
</f>
        <v>1245000</v>
      </c>
      <c r="AG11" s="103">
        <f>IFERROR(MINIFS('الوحدات'!L:L, 'الوحدات'!B:B, B11, 'الوحدات'!M:M, "متاحة"), "")</f>
        <v>1245000</v>
      </c>
      <c r="AH11" s="103">
        <f>IFERROR(MAXIFS('الوحدات'!L:L, 'الوحدات'!B:B, B11), "")</f>
        <v>1855000</v>
      </c>
      <c r="AI11" s="103">
        <f>IFERROR(MAXIFS('الوحدات'!L:L, 'الوحدات'!B:B, B11, 'الوحدات'!M:M, "متاحة"), "")</f>
        <v>1855000</v>
      </c>
      <c r="AJ11" s="101" t="str">
        <f t="shared" ref="AJ11:AK11" si="38">AH11&amp;"-"&amp;AF11</f>
        <v>1855000-1245000</v>
      </c>
      <c r="AK11" s="106" t="str">
        <f t="shared" si="38"/>
        <v>1855000-1245000</v>
      </c>
      <c r="AL11" s="103">
        <f>IFERROR(MINIFS('الوحدات'!K:K, 'الوحدات'!B:B, B11), "")</f>
        <v>188</v>
      </c>
      <c r="AM11" s="102">
        <f>IFERROR(MINIFS('الوحدات'!K:K, 'الوحدات'!B:B, B11, 'الوحدات'!M:M, "متاحة"), "")</f>
        <v>188</v>
      </c>
      <c r="AN11" s="102">
        <f>IFERROR(MAXIFS('الوحدات'!K:K, 'الوحدات'!B:B, B11), "")</f>
        <v>243</v>
      </c>
      <c r="AO11" s="102">
        <f>IFERROR(MAXIFS('الوحدات'!K:K, 'الوحدات'!B:B, B11, 'الوحدات'!M:M, "متاحة"), "")</f>
        <v>243</v>
      </c>
      <c r="AP11" s="101" t="str">
        <f t="shared" ref="AP11:AQ11" si="39">AN11&amp;"-"&amp;AL11</f>
        <v>243-188</v>
      </c>
      <c r="AQ11" s="101" t="str">
        <f t="shared" si="39"/>
        <v>243-188</v>
      </c>
      <c r="AR11" s="102">
        <f>IFERROR(MINIFS('الوحدات'!N:N, 'الوحدات'!B:B, B11), "")</f>
        <v>3</v>
      </c>
      <c r="AS11" s="102">
        <f>IFERROR(MINIFS('الوحدات'!N:N, 'الوحدات'!B:B, B11, 'الوحدات'!M:M, "متاحة"), "")</f>
        <v>3</v>
      </c>
      <c r="AT11" s="102">
        <f>IFERROR(MAXIFS('الوحدات'!N:N, 'الوحدات'!B:B, B11), "")</f>
        <v>3</v>
      </c>
      <c r="AU11" s="102">
        <f>IFERROR(MAXIFS('الوحدات'!N:N, 'الوحدات'!B:B, B11, 'الوحدات'!M:M, "متاحة"), "")</f>
        <v>3</v>
      </c>
      <c r="AV11" s="107" t="str">
        <f t="shared" ref="AV11:AW11" si="40">AT11&amp;"-"&amp;AR11</f>
        <v>3-3</v>
      </c>
      <c r="AW11" s="107" t="str">
        <f t="shared" si="40"/>
        <v>3-3</v>
      </c>
      <c r="AX11" s="102">
        <f>IFERROR(MINIFS('الوحدات'!O:O, 'الوحدات'!B:B, B11), "")</f>
        <v>0</v>
      </c>
      <c r="AY11" s="108">
        <f>IFERROR(MINIFS('الوحدات'!O:O, 'الوحدات'!B:B, B11, 'الوحدات'!M:M, "متاحة"), "")</f>
        <v>0</v>
      </c>
      <c r="AZ11" s="108">
        <f>IFERROR(MAXIFS('الوحدات'!O:O, 'الوحدات'!B:B, B11), "")</f>
        <v>0</v>
      </c>
      <c r="BA11" s="102">
        <f>IFERROR(MAXIFS('الوحدات'!O:O, 'الوحدات'!B:B, B11, 'الوحدات'!M:M, "متاحة"), "")</f>
        <v>0</v>
      </c>
      <c r="BB11" s="107" t="str">
        <f t="shared" ref="BB11:BC11" si="41">AZ11&amp;"-"&amp;AX11</f>
        <v>0-0</v>
      </c>
      <c r="BC11" s="107" t="str">
        <f t="shared" si="41"/>
        <v>0-0</v>
      </c>
    </row>
    <row r="12">
      <c r="A12" s="25">
        <v>11.0</v>
      </c>
      <c r="B12" s="56" t="s">
        <v>140</v>
      </c>
      <c r="C12" s="61" t="s">
        <v>141</v>
      </c>
      <c r="D12" s="57"/>
      <c r="E12" s="57" t="s">
        <v>142</v>
      </c>
      <c r="F12" s="26" t="str">
        <f t="array" ref="F12">SWITCH(
XLOOKUP(B12,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12" s="26" t="str">
        <f t="array" ref="G12">SWITCH(
XLOOKUP(B12, 'المشاريع'!B:B, 'المشاريع'!G:G),
"سكني","Residential",
"تجاري","Commercial"
)
</f>
        <v>Residential</v>
      </c>
      <c r="H12" s="26" t="str">
        <f t="array" ref="H12">SUBSTITUTE(
SUBSTITUTE(
SUBSTITUTE(
SUBSTITUTE(
SUBSTITUTE(
XLOOKUP(B12,'المشاريع'!B:B,'المشاريع'!H:H),
"شقة","Apartment"),
"دور","Floor"),
"فيلا","Villa"),
"تاون هاوس","Town House"),
"-",", ")
</f>
        <v>Villa</v>
      </c>
      <c r="I12" s="27"/>
      <c r="J12" s="58" t="s">
        <v>143</v>
      </c>
      <c r="K12" s="29" t="str">
        <f t="array" ref="K12">SUBSTITUTE(
SUBSTITUTE(
SUBSTITUTE(
SUBSTITUTE(
XLOOKUP(B12, 'المشاريع'!B:B, 'المشاريع'!K:K),
"شمال","North"),
"شرق","East"),
"جنوب","South"),
"غرب","West")
</f>
        <v>East</v>
      </c>
      <c r="L12" s="60" t="s">
        <v>86</v>
      </c>
      <c r="M12" s="60" t="s">
        <v>87</v>
      </c>
      <c r="N12" s="61" t="s">
        <v>144</v>
      </c>
      <c r="O12" s="57"/>
      <c r="P12" s="57"/>
      <c r="Q12" s="57"/>
      <c r="R12" s="88" t="str">
        <f t="array" ref="R12">SUBSTITUTE(
SUBSTITUTE(
SUBSTITUTE(
SUBSTITUTE(
SUBSTITUTE(
SUBSTITUTE(
SUBSTITUTE(
SUBSTITUTE(
SUBSTITUTE(
SUBSTITUTE(
SUBSTITUTE(
XLOOKUP(B12,'المشاريع'!B:B,'المشاريع'!R:R),"صالة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Driver room, Maid room, Laundry room, Dining room, Utility room, Living room, Reception room</v>
      </c>
      <c r="S12" s="32">
        <f>COUNTIF('الوحدات'!B:B, B12)</f>
        <v>11</v>
      </c>
      <c r="T12" s="33">
        <f>COUNTIFS('الوحدات'!B:B, B12, 'الوحدات'!M:M, "متاحة")</f>
        <v>11</v>
      </c>
      <c r="U12" s="33">
        <f>COUNTIFS('الوحدات'!B:B, B12, 'الوحدات'!M:M, "تحت الإنشاء")</f>
        <v>0</v>
      </c>
      <c r="V12" s="33">
        <f>COUNTIFS('الوحدات'!B:B, B12, 'الوحدات'!M:M, "محجوزة")</f>
        <v>0</v>
      </c>
      <c r="W12" s="33">
        <f>COUNTIFS('الوحدات'!B:B, B12, 'الوحدات'!M:M, "مباعة")</f>
        <v>0</v>
      </c>
      <c r="X12" s="34">
        <f>IFERROR(AVERAGEIFS('الوحدات'!L:L, 'الوحدات'!B:B, B12), "")</f>
        <v>2150000</v>
      </c>
      <c r="Y12" s="89">
        <f>IFERROR(
ROUND(
AVERAGEIFS('الوحدات'!L:L, 'الوحدات'!B:B, B12, 'الوحدات'!M:M, "متاحة"),
2
),
""
)
</f>
        <v>2150000</v>
      </c>
      <c r="Z12" s="34">
        <f>IFERROR(SUMIFS('الوحدات'!L:L, 'الوحدات'!B:B, B12), "")</f>
        <v>23650000</v>
      </c>
      <c r="AA12" s="36">
        <f t="shared" si="5"/>
        <v>0</v>
      </c>
      <c r="AB12" s="34">
        <f>IFERROR(SUMIFS('الوحدات'!L:L, 'الوحدات'!B:B, B12, 'الوحدات'!M:M, "تحت الإنشاء"), "")</f>
        <v>0</v>
      </c>
      <c r="AC12" s="34">
        <f>IFERROR(SUMIFS('الوحدات'!L:L, 'الوحدات'!B:B, B12, 'الوحدات'!M:M, "متاحة"), "")</f>
        <v>23650000</v>
      </c>
      <c r="AD12" s="34">
        <f>IFERROR(SUMIFS('الوحدات'!L:L, 'الوحدات'!B:B, B12, 'الوحدات'!M:M, "محجوزة"), "")</f>
        <v>0</v>
      </c>
      <c r="AE12" s="34">
        <f>IFERROR(SUMIFS('الوحدات'!L:L, 'الوحدات'!B:B, B12, 'الوحدات'!M:M, "مباعة"), "")</f>
        <v>0</v>
      </c>
      <c r="AF12" s="34">
        <f>IFERROR(
ROUND(
VALUE(
SUBSTITUTE(
SUBSTITUTE(
MINIFS('الوحدات'!L:L,'الوحدات'!B:B,B12),
",",""),
"٬","")
),
0
),
""
)
</f>
        <v>2150000</v>
      </c>
      <c r="AG12" s="34">
        <f>IFERROR(MINIFS('الوحدات'!L:L, 'الوحدات'!B:B, B12, 'الوحدات'!M:M, "متاحة"), "")</f>
        <v>2150000</v>
      </c>
      <c r="AH12" s="34">
        <f>IFERROR(MAXIFS('الوحدات'!L:L, 'الوحدات'!B:B, B12), "")</f>
        <v>2150000</v>
      </c>
      <c r="AI12" s="34">
        <f>IFERROR(MAXIFS('الوحدات'!L:L, 'الوحدات'!B:B, B12, 'الوحدات'!M:M, "متاحة"), "")</f>
        <v>2150000</v>
      </c>
      <c r="AJ12" s="32" t="str">
        <f t="shared" ref="AJ12:AK12" si="42">AH12&amp;"-"&amp;AF12</f>
        <v>2150000-2150000</v>
      </c>
      <c r="AK12" s="37" t="str">
        <f t="shared" si="42"/>
        <v>2150000-2150000</v>
      </c>
      <c r="AL12" s="34">
        <f>IFERROR(MINIFS('الوحدات'!K:K, 'الوحدات'!B:B, B12), "")</f>
        <v>200</v>
      </c>
      <c r="AM12" s="33">
        <f>IFERROR(MINIFS('الوحدات'!K:K, 'الوحدات'!B:B, B12, 'الوحدات'!M:M, "متاحة"), "")</f>
        <v>200</v>
      </c>
      <c r="AN12" s="33">
        <f>IFERROR(MAXIFS('الوحدات'!K:K, 'الوحدات'!B:B, B12), "")</f>
        <v>200</v>
      </c>
      <c r="AO12" s="33">
        <f>IFERROR(MAXIFS('الوحدات'!K:K, 'الوحدات'!B:B, B12, 'الوحدات'!M:M, "متاحة"), "")</f>
        <v>200</v>
      </c>
      <c r="AP12" s="32" t="str">
        <f t="shared" ref="AP12:AQ12" si="43">AN12&amp;"-"&amp;AL12</f>
        <v>200-200</v>
      </c>
      <c r="AQ12" s="32" t="str">
        <f t="shared" si="43"/>
        <v>200-200</v>
      </c>
      <c r="AR12" s="33">
        <f>IFERROR(MINIFS('الوحدات'!N:N, 'الوحدات'!B:B, B12), "")</f>
        <v>5</v>
      </c>
      <c r="AS12" s="33">
        <f>IFERROR(MINIFS('الوحدات'!N:N, 'الوحدات'!B:B, B12, 'الوحدات'!M:M, "متاحة"), "")</f>
        <v>5</v>
      </c>
      <c r="AT12" s="33">
        <f>IFERROR(MAXIFS('الوحدات'!N:N, 'الوحدات'!B:B, B12), "")</f>
        <v>5</v>
      </c>
      <c r="AU12" s="33">
        <f>IFERROR(MAXIFS('الوحدات'!N:N, 'الوحدات'!B:B, B12, 'الوحدات'!M:M, "متاحة"), "")</f>
        <v>5</v>
      </c>
      <c r="AV12" s="14" t="str">
        <f t="shared" ref="AV12:AW12" si="44">AT12&amp;"-"&amp;AR12</f>
        <v>5-5</v>
      </c>
      <c r="AW12" s="14" t="str">
        <f t="shared" si="44"/>
        <v>5-5</v>
      </c>
      <c r="AX12" s="33">
        <f>IFERROR(MINIFS('الوحدات'!O:O, 'الوحدات'!B:B, B12), "")</f>
        <v>6</v>
      </c>
      <c r="AY12" s="38">
        <f>IFERROR(MINIFS('الوحدات'!O:O, 'الوحدات'!B:B, B12, 'الوحدات'!M:M, "متاحة"), "")</f>
        <v>6</v>
      </c>
      <c r="AZ12" s="38">
        <f>IFERROR(MAXIFS('الوحدات'!O:O, 'الوحدات'!B:B, B12), "")</f>
        <v>6</v>
      </c>
      <c r="BA12" s="33">
        <f>IFERROR(MAXIFS('الوحدات'!O:O, 'الوحدات'!B:B, B12, 'الوحدات'!M:M, "متاحة"), "")</f>
        <v>6</v>
      </c>
      <c r="BB12" s="14" t="str">
        <f t="shared" ref="BB12:BC12" si="45">AZ12&amp;"-"&amp;AX12</f>
        <v>6-6</v>
      </c>
      <c r="BC12" s="14" t="str">
        <f t="shared" si="45"/>
        <v>6-6</v>
      </c>
    </row>
    <row r="13">
      <c r="A13" s="45">
        <v>12.0</v>
      </c>
      <c r="B13" s="56" t="s">
        <v>146</v>
      </c>
      <c r="C13" s="61" t="s">
        <v>147</v>
      </c>
      <c r="D13" s="57"/>
      <c r="E13" s="57" t="s">
        <v>147</v>
      </c>
      <c r="F13" s="26" t="str">
        <f t="array" ref="F13">SWITCH(
XLOOKUP(B13,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13" s="26" t="str">
        <f t="array" ref="G13">SWITCH(
XLOOKUP(B13, 'المشاريع'!B:B, 'المشاريع'!G:G),
"سكني","Residential",
"تجاري","Commercial"
)
</f>
        <v>Residential</v>
      </c>
      <c r="H13" s="26" t="str">
        <f t="array" ref="H13">SUBSTITUTE(
SUBSTITUTE(
SUBSTITUTE(
SUBSTITUTE(
SUBSTITUTE(
XLOOKUP(B13,'المشاريع'!B:B,'المشاريع'!H:H),
"شقة","Apartment"),
"دور","Floor"),
"فيلا","Villa"),
"تاون هاوس","Town House"),
"-",", ")
</f>
        <v>Villa</v>
      </c>
      <c r="I13" s="27"/>
      <c r="J13" s="57"/>
      <c r="K13" s="29" t="str">
        <f t="array" ref="K13">SUBSTITUTE(
SUBSTITUTE(
SUBSTITUTE(
SUBSTITUTE(
XLOOKUP(B13, 'المشاريع'!B:B, 'المشاريع'!K:K),
"شمال","North"),
"شرق","East"),
"جنوب","South"),
"غرب","West")
</f>
        <v>East</v>
      </c>
      <c r="L13" s="60" t="s">
        <v>86</v>
      </c>
      <c r="M13" s="60" t="s">
        <v>87</v>
      </c>
      <c r="N13" s="61" t="s">
        <v>144</v>
      </c>
      <c r="O13" s="57"/>
      <c r="P13" s="57"/>
      <c r="Q13" s="57"/>
      <c r="R13" s="88" t="str">
        <f t="array" ref="R13">SUBSTITUTE(
SUBSTITUTE(
SUBSTITUTE(
SUBSTITUTE(
SUBSTITUTE(
SUBSTITUTE(
SUBSTITUTE(
SUBSTITUTE(
SUBSTITUTE(
SUBSTITUTE(
SUBSTITUTE(
XLOOKUP(B13,'المشاريع'!B:B,'المشاريع'!R:R),"صالة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13" s="32">
        <f>COUNTIF('الوحدات'!B:B, B13)</f>
        <v>2</v>
      </c>
      <c r="T13" s="33">
        <f>COUNTIFS('الوحدات'!B:B, B13, 'الوحدات'!M:M, "متاحة")</f>
        <v>2</v>
      </c>
      <c r="U13" s="33">
        <f>COUNTIFS('الوحدات'!B:B, B13, 'الوحدات'!M:M, "تحت الإنشاء")</f>
        <v>0</v>
      </c>
      <c r="V13" s="33">
        <f>COUNTIFS('الوحدات'!B:B, B13, 'الوحدات'!M:M, "محجوزة")</f>
        <v>0</v>
      </c>
      <c r="W13" s="33">
        <f>COUNTIFS('الوحدات'!B:B, B13, 'الوحدات'!M:M, "مباعة")</f>
        <v>0</v>
      </c>
      <c r="X13" s="34">
        <f>IFERROR(AVERAGEIFS('الوحدات'!L:L, 'الوحدات'!B:B, B13), "")</f>
        <v>2390000</v>
      </c>
      <c r="Y13" s="89">
        <f>IFERROR(
ROUND(
AVERAGEIFS('الوحدات'!L:L, 'الوحدات'!B:B, B13, 'الوحدات'!M:M, "متاحة"),
2
),
""
)
</f>
        <v>2390000</v>
      </c>
      <c r="Z13" s="34">
        <f>IFERROR(SUMIFS('الوحدات'!L:L, 'الوحدات'!B:B, B13), "")</f>
        <v>4780000</v>
      </c>
      <c r="AA13" s="36">
        <f t="shared" si="5"/>
        <v>0</v>
      </c>
      <c r="AB13" s="34">
        <f>IFERROR(SUMIFS('الوحدات'!L:L, 'الوحدات'!B:B, B13, 'الوحدات'!M:M, "تحت الإنشاء"), "")</f>
        <v>0</v>
      </c>
      <c r="AC13" s="34">
        <f>IFERROR(SUMIFS('الوحدات'!L:L, 'الوحدات'!B:B, B13, 'الوحدات'!M:M, "متاحة"), "")</f>
        <v>4780000</v>
      </c>
      <c r="AD13" s="34">
        <f>IFERROR(SUMIFS('الوحدات'!L:L, 'الوحدات'!B:B, B13, 'الوحدات'!M:M, "محجوزة"), "")</f>
        <v>0</v>
      </c>
      <c r="AE13" s="34">
        <f>IFERROR(SUMIFS('الوحدات'!L:L, 'الوحدات'!B:B, B13, 'الوحدات'!M:M, "مباعة"), "")</f>
        <v>0</v>
      </c>
      <c r="AF13" s="34">
        <f>IFERROR(
ROUND(
VALUE(
SUBSTITUTE(
SUBSTITUTE(
MINIFS('الوحدات'!L:L,'الوحدات'!B:B,B13),
",",""),
"٬","")
),
0
),
""
)
</f>
        <v>2390000</v>
      </c>
      <c r="AG13" s="34">
        <f>IFERROR(MINIFS('الوحدات'!L:L, 'الوحدات'!B:B, B13, 'الوحدات'!M:M, "متاحة"), "")</f>
        <v>2390000</v>
      </c>
      <c r="AH13" s="34">
        <f>IFERROR(MAXIFS('الوحدات'!L:L, 'الوحدات'!B:B, B13), "")</f>
        <v>2390000</v>
      </c>
      <c r="AI13" s="34">
        <f>IFERROR(MAXIFS('الوحدات'!L:L, 'الوحدات'!B:B, B13, 'الوحدات'!M:M, "متاحة"), "")</f>
        <v>2390000</v>
      </c>
      <c r="AJ13" s="32" t="str">
        <f t="shared" ref="AJ13:AK13" si="46">AH13&amp;"-"&amp;AF13</f>
        <v>2390000-2390000</v>
      </c>
      <c r="AK13" s="37" t="str">
        <f t="shared" si="46"/>
        <v>2390000-2390000</v>
      </c>
      <c r="AL13" s="34">
        <f>IFERROR(MINIFS('الوحدات'!K:K, 'الوحدات'!B:B, B13), "")</f>
        <v>200</v>
      </c>
      <c r="AM13" s="33">
        <f>IFERROR(MINIFS('الوحدات'!K:K, 'الوحدات'!B:B, B13, 'الوحدات'!M:M, "متاحة"), "")</f>
        <v>200</v>
      </c>
      <c r="AN13" s="33">
        <f>IFERROR(MAXIFS('الوحدات'!K:K, 'الوحدات'!B:B, B13), "")</f>
        <v>200</v>
      </c>
      <c r="AO13" s="33">
        <f>IFERROR(MAXIFS('الوحدات'!K:K, 'الوحدات'!B:B, B13, 'الوحدات'!M:M, "متاحة"), "")</f>
        <v>200</v>
      </c>
      <c r="AP13" s="32" t="str">
        <f t="shared" ref="AP13:AQ13" si="47">AN13&amp;"-"&amp;AL13</f>
        <v>200-200</v>
      </c>
      <c r="AQ13" s="32" t="str">
        <f t="shared" si="47"/>
        <v>200-200</v>
      </c>
      <c r="AR13" s="33">
        <f>IFERROR(MINIFS('الوحدات'!N:N, 'الوحدات'!B:B, B13), "")</f>
        <v>0</v>
      </c>
      <c r="AS13" s="33">
        <f>IFERROR(MINIFS('الوحدات'!N:N, 'الوحدات'!B:B, B13, 'الوحدات'!M:M, "متاحة"), "")</f>
        <v>0</v>
      </c>
      <c r="AT13" s="33">
        <f>IFERROR(MAXIFS('الوحدات'!N:N, 'الوحدات'!B:B, B13), "")</f>
        <v>0</v>
      </c>
      <c r="AU13" s="33">
        <f>IFERROR(MAXIFS('الوحدات'!N:N, 'الوحدات'!B:B, B13, 'الوحدات'!M:M, "متاحة"), "")</f>
        <v>0</v>
      </c>
      <c r="AV13" s="14" t="str">
        <f t="shared" ref="AV13:AW13" si="48">AT13&amp;"-"&amp;AR13</f>
        <v>0-0</v>
      </c>
      <c r="AW13" s="14" t="str">
        <f t="shared" si="48"/>
        <v>0-0</v>
      </c>
      <c r="AX13" s="33">
        <f>IFERROR(MINIFS('الوحدات'!O:O, 'الوحدات'!B:B, B13), "")</f>
        <v>0</v>
      </c>
      <c r="AY13" s="38">
        <f>IFERROR(MINIFS('الوحدات'!O:O, 'الوحدات'!B:B, B13, 'الوحدات'!M:M, "متاحة"), "")</f>
        <v>0</v>
      </c>
      <c r="AZ13" s="38">
        <f>IFERROR(MAXIFS('الوحدات'!O:O, 'الوحدات'!B:B, B13), "")</f>
        <v>0</v>
      </c>
      <c r="BA13" s="33">
        <f>IFERROR(MAXIFS('الوحدات'!O:O, 'الوحدات'!B:B, B13, 'الوحدات'!M:M, "متاحة"), "")</f>
        <v>0</v>
      </c>
      <c r="BB13" s="14" t="str">
        <f t="shared" ref="BB13:BC13" si="49">AZ13&amp;"-"&amp;AX13</f>
        <v>0-0</v>
      </c>
      <c r="BC13" s="14" t="str">
        <f t="shared" si="49"/>
        <v>0-0</v>
      </c>
    </row>
    <row r="14">
      <c r="A14" s="25">
        <v>13.0</v>
      </c>
      <c r="B14" s="56" t="s">
        <v>148</v>
      </c>
      <c r="C14" s="64" t="s">
        <v>112</v>
      </c>
      <c r="D14" s="65">
        <v>80.0</v>
      </c>
      <c r="E14" s="64" t="s">
        <v>149</v>
      </c>
      <c r="F14" s="26" t="str">
        <f t="array" ref="F14">SWITCH(
XLOOKUP(B14,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14" s="26" t="str">
        <f t="array" ref="G14">SWITCH(
XLOOKUP(B14, 'المشاريع'!B:B, 'المشاريع'!G:G),
"سكني","Residential",
"تجاري","Commercial"
)
</f>
        <v>Residential</v>
      </c>
      <c r="H14" s="26" t="str">
        <f t="array" ref="H14">SUBSTITUTE(
SUBSTITUTE(
SUBSTITUTE(
SUBSTITUTE(
SUBSTITUTE(
XLOOKUP(B14,'المشاريع'!B:B,'المشاريع'!H:H),
"شقة","Apartment"),
"دور","Floor"),
"فيلا","Villa"),
"تاون هاوس","Town House"),
"-",", ")
</f>
        <v>Town House</v>
      </c>
      <c r="I14" s="27"/>
      <c r="J14" s="66" t="s">
        <v>150</v>
      </c>
      <c r="K14" s="29" t="str">
        <f t="array" ref="K14">SUBSTITUTE(
SUBSTITUTE(
SUBSTITUTE(
SUBSTITUTE(
XLOOKUP(B14, 'المشاريع'!B:B, 'المشاريع'!K:K),
"شمال","North"),
"شرق","East"),
"جنوب","South"),
"غرب","West")
</f>
        <v>North</v>
      </c>
      <c r="L14" s="60" t="s">
        <v>86</v>
      </c>
      <c r="M14" s="60" t="s">
        <v>87</v>
      </c>
      <c r="N14" s="68" t="s">
        <v>151</v>
      </c>
      <c r="O14" s="69"/>
      <c r="P14" s="69"/>
      <c r="Q14" s="69"/>
      <c r="R14" s="88" t="str">
        <f t="array" ref="R14">SUBSTITUTE(
SUBSTITUTE(
SUBSTITUTE(
SUBSTITUTE(
SUBSTITUTE(
SUBSTITUTE(
SUBSTITUTE(
SUBSTITUTE(
SUBSTITUTE(
SUBSTITUTE(
SUBSTITUTE(
XLOOKUP(B14,'المشاريع'!B:B,'المشاريع'!R:R),"صالة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>Living room, Reception room, Dining room, Outdoor courtyard, Balcony</v>
      </c>
      <c r="S14" s="32">
        <f>COUNTIF('الوحدات'!B:B, B14)</f>
        <v>24</v>
      </c>
      <c r="T14" s="33">
        <f>COUNTIFS('الوحدات'!B:B, B14, 'الوحدات'!M:M, "متاحة")</f>
        <v>24</v>
      </c>
      <c r="U14" s="33">
        <f>COUNTIFS('الوحدات'!B:B, B14, 'الوحدات'!M:M, "تحت الإنشاء")</f>
        <v>0</v>
      </c>
      <c r="V14" s="33">
        <f>COUNTIFS('الوحدات'!B:B, B14, 'الوحدات'!M:M, "محجوزة")</f>
        <v>0</v>
      </c>
      <c r="W14" s="33">
        <f>COUNTIFS('الوحدات'!B:B, B14, 'الوحدات'!M:M, "مباعة")</f>
        <v>0</v>
      </c>
      <c r="X14" s="34">
        <f>IFERROR(AVERAGEIFS('الوحدات'!L:L, 'الوحدات'!B:B, B14), "")</f>
        <v>2206250</v>
      </c>
      <c r="Y14" s="89">
        <f>IFERROR(
ROUND(
AVERAGEIFS('الوحدات'!L:L, 'الوحدات'!B:B, B14, 'الوحدات'!M:M, "متاحة"),
2
),
""
)
</f>
        <v>2206250</v>
      </c>
      <c r="Z14" s="34">
        <f>IFERROR(SUMIFS('الوحدات'!L:L, 'الوحدات'!B:B, B14), "")</f>
        <v>52950000</v>
      </c>
      <c r="AA14" s="36">
        <f t="shared" si="5"/>
        <v>0</v>
      </c>
      <c r="AB14" s="34">
        <f>IFERROR(SUMIFS('الوحدات'!L:L, 'الوحدات'!B:B, B14, 'الوحدات'!M:M, "تحت الإنشاء"), "")</f>
        <v>0</v>
      </c>
      <c r="AC14" s="34">
        <f>IFERROR(SUMIFS('الوحدات'!L:L, 'الوحدات'!B:B, B14, 'الوحدات'!M:M, "متاحة"), "")</f>
        <v>52950000</v>
      </c>
      <c r="AD14" s="34">
        <f>IFERROR(SUMIFS('الوحدات'!L:L, 'الوحدات'!B:B, B14, 'الوحدات'!M:M, "محجوزة"), "")</f>
        <v>0</v>
      </c>
      <c r="AE14" s="34">
        <f>IFERROR(SUMIFS('الوحدات'!L:L, 'الوحدات'!B:B, B14, 'الوحدات'!M:M, "مباعة"), "")</f>
        <v>0</v>
      </c>
      <c r="AF14" s="34">
        <f>IFERROR(
ROUND(
VALUE(
SUBSTITUTE(
SUBSTITUTE(
MINIFS('الوحدات'!L:L,'الوحدات'!B:B,B14),
",",""),
"٬","")
),
0
),
""
)
</f>
        <v>2175000</v>
      </c>
      <c r="AG14" s="34">
        <f>IFERROR(MINIFS('الوحدات'!L:L, 'الوحدات'!B:B, B14, 'الوحدات'!M:M, "متاحة"), "")</f>
        <v>2175000</v>
      </c>
      <c r="AH14" s="34">
        <f>IFERROR(MAXIFS('الوحدات'!L:L, 'الوحدات'!B:B, B14), "")</f>
        <v>2425000</v>
      </c>
      <c r="AI14" s="34">
        <f>IFERROR(MAXIFS('الوحدات'!L:L, 'الوحدات'!B:B, B14, 'الوحدات'!M:M, "متاحة"), "")</f>
        <v>2425000</v>
      </c>
      <c r="AJ14" s="32" t="str">
        <f t="shared" ref="AJ14:AK14" si="50">AH14&amp;"-"&amp;AF14</f>
        <v>2425000-2175000</v>
      </c>
      <c r="AK14" s="37" t="str">
        <f t="shared" si="50"/>
        <v>2425000-2175000</v>
      </c>
      <c r="AL14" s="34">
        <f>IFERROR(MINIFS('الوحدات'!K:K, 'الوحدات'!B:B, B14), "")</f>
        <v>384</v>
      </c>
      <c r="AM14" s="33">
        <f>IFERROR(MINIFS('الوحدات'!K:K, 'الوحدات'!B:B, B14, 'الوحدات'!M:M, "متاحة"), "")</f>
        <v>384</v>
      </c>
      <c r="AN14" s="33">
        <f>IFERROR(MAXIFS('الوحدات'!K:K, 'الوحدات'!B:B, B14), "")</f>
        <v>517</v>
      </c>
      <c r="AO14" s="33">
        <f>IFERROR(MAXIFS('الوحدات'!K:K, 'الوحدات'!B:B, B14, 'الوحدات'!M:M, "متاحة"), "")</f>
        <v>517</v>
      </c>
      <c r="AP14" s="32" t="str">
        <f t="shared" ref="AP14:AQ14" si="51">AN14&amp;"-"&amp;AL14</f>
        <v>517-384</v>
      </c>
      <c r="AQ14" s="32" t="str">
        <f t="shared" si="51"/>
        <v>517-384</v>
      </c>
      <c r="AR14" s="33">
        <f>IFERROR(MINIFS('الوحدات'!N:N, 'الوحدات'!B:B, B14), "")</f>
        <v>3</v>
      </c>
      <c r="AS14" s="33">
        <f>IFERROR(MINIFS('الوحدات'!N:N, 'الوحدات'!B:B, B14, 'الوحدات'!M:M, "متاحة"), "")</f>
        <v>3</v>
      </c>
      <c r="AT14" s="33">
        <f>IFERROR(MAXIFS('الوحدات'!N:N, 'الوحدات'!B:B, B14), "")</f>
        <v>3</v>
      </c>
      <c r="AU14" s="33">
        <f>IFERROR(MAXIFS('الوحدات'!N:N, 'الوحدات'!B:B, B14, 'الوحدات'!M:M, "متاحة"), "")</f>
        <v>3</v>
      </c>
      <c r="AV14" s="14" t="str">
        <f t="shared" ref="AV14:AW14" si="52">AT14&amp;"-"&amp;AR14</f>
        <v>3-3</v>
      </c>
      <c r="AW14" s="14" t="str">
        <f t="shared" si="52"/>
        <v>3-3</v>
      </c>
      <c r="AX14" s="33">
        <f>IFERROR(MINIFS('الوحدات'!O:O, 'الوحدات'!B:B, B14), "")</f>
        <v>5</v>
      </c>
      <c r="AY14" s="38">
        <f>IFERROR(MINIFS('الوحدات'!O:O, 'الوحدات'!B:B, B14, 'الوحدات'!M:M, "متاحة"), "")</f>
        <v>5</v>
      </c>
      <c r="AZ14" s="38">
        <f>IFERROR(MAXIFS('الوحدات'!O:O, 'الوحدات'!B:B, B14), "")</f>
        <v>5</v>
      </c>
      <c r="BA14" s="33">
        <f>IFERROR(MAXIFS('الوحدات'!O:O, 'الوحدات'!B:B, B14, 'الوحدات'!M:M, "متاحة"), "")</f>
        <v>5</v>
      </c>
      <c r="BB14" s="14" t="str">
        <f t="shared" ref="BB14:BC14" si="53">AZ14&amp;"-"&amp;AX14</f>
        <v>5-5</v>
      </c>
      <c r="BC14" s="14" t="str">
        <f t="shared" si="53"/>
        <v>5-5</v>
      </c>
    </row>
    <row r="15">
      <c r="A15" s="65">
        <v>14.0</v>
      </c>
      <c r="B15" s="14" t="s">
        <v>153</v>
      </c>
      <c r="C15" s="70" t="s">
        <v>118</v>
      </c>
      <c r="D15" s="14">
        <v>88.0</v>
      </c>
      <c r="E15" s="69" t="str">
        <f t="shared" ref="E15:E33" si="58">"ألين - "&amp;D15</f>
        <v>ألين - 88</v>
      </c>
      <c r="F15" s="26" t="str">
        <f t="array" ref="F15">SWITCH(
XLOOKUP(B15,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15" s="26" t="str">
        <f t="array" ref="G15">SWITCH(
XLOOKUP(B15, 'المشاريع'!B:B, 'المشاريع'!G:G),
"سكني","Residential",
"تجاري","Commercial"
)
</f>
        <v>Residential</v>
      </c>
      <c r="H15" s="26" t="str">
        <f t="array" ref="H15">SUBSTITUTE(
SUBSTITUTE(
SUBSTITUTE(
SUBSTITUTE(
SUBSTITUTE(
XLOOKUP(B15,'المشاريع'!B:B,'المشاريع'!H:H),
"شقة","Apartment"),
"دور","Floor"),
"فيلا","Villa"),
"تاون هاوس","Town House"),
"-",", ")
</f>
        <v>Apartment</v>
      </c>
      <c r="I15" s="27"/>
      <c r="J15" s="71" t="s">
        <v>154</v>
      </c>
      <c r="K15" s="29" t="str">
        <f t="array" ref="K15">SUBSTITUTE(
SUBSTITUTE(
SUBSTITUTE(
SUBSTITUTE(
XLOOKUP(B15, 'المشاريع'!B:B, 'المشاريع'!K:K),
"شمال","North"),
"شرق","East"),
"جنوب","South"),
"غرب","West")
</f>
        <v>North</v>
      </c>
      <c r="L15" s="60" t="s">
        <v>86</v>
      </c>
      <c r="M15" s="60" t="s">
        <v>87</v>
      </c>
      <c r="N15" s="70" t="s">
        <v>155</v>
      </c>
      <c r="O15" s="71" t="s">
        <v>156</v>
      </c>
      <c r="P15" s="14"/>
      <c r="Q15" s="14"/>
      <c r="R15" s="88" t="str">
        <f t="array" ref="R15">SUBSTITUTE(
SUBSTITUTE(
SUBSTITUTE(
SUBSTITUTE(
SUBSTITUTE(
SUBSTITUTE(
SUBSTITUTE(
SUBSTITUTE(
SUBSTITUTE(
SUBSTITUTE(
SUBSTITUTE(
XLOOKUP(B15,'المشاريع'!B:B,'المشاريع'!R:R),"صالة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15" s="32">
        <f>COUNTIF('الوحدات'!B:B, B15)</f>
        <v>1</v>
      </c>
      <c r="T15" s="33">
        <f>COUNTIFS('الوحدات'!B:B, B15, 'الوحدات'!M:M, "متاحة")</f>
        <v>1</v>
      </c>
      <c r="U15" s="33">
        <f>COUNTIFS('الوحدات'!B:B, B15, 'الوحدات'!M:M, "تحت الإنشاء")</f>
        <v>0</v>
      </c>
      <c r="V15" s="33">
        <f>COUNTIFS('الوحدات'!B:B, B15, 'الوحدات'!M:M, "محجوزة")</f>
        <v>0</v>
      </c>
      <c r="W15" s="33">
        <f>COUNTIFS('الوحدات'!B:B, B15, 'الوحدات'!M:M, "مباعة")</f>
        <v>0</v>
      </c>
      <c r="X15" s="34">
        <f>IFERROR(AVERAGEIFS('الوحدات'!L:L, 'الوحدات'!B:B, B15), "")</f>
        <v>1499000</v>
      </c>
      <c r="Y15" s="89">
        <f>IFERROR(
ROUND(
AVERAGEIFS('الوحدات'!L:L, 'الوحدات'!B:B, B15, 'الوحدات'!M:M, "متاحة"),
2
),
""
)
</f>
        <v>1499000</v>
      </c>
      <c r="Z15" s="34">
        <f>IFERROR(SUMIFS('الوحدات'!L:L, 'الوحدات'!B:B, B15), "")</f>
        <v>1499000</v>
      </c>
      <c r="AA15" s="36">
        <f t="shared" si="5"/>
        <v>0</v>
      </c>
      <c r="AB15" s="34">
        <f>IFERROR(SUMIFS('الوحدات'!L:L, 'الوحدات'!B:B, B15, 'الوحدات'!M:M, "تحت الإنشاء"), "")</f>
        <v>0</v>
      </c>
      <c r="AC15" s="34">
        <f>IFERROR(SUMIFS('الوحدات'!L:L, 'الوحدات'!B:B, B15, 'الوحدات'!M:M, "متاحة"), "")</f>
        <v>1499000</v>
      </c>
      <c r="AD15" s="34">
        <f>IFERROR(SUMIFS('الوحدات'!L:L, 'الوحدات'!B:B, B15, 'الوحدات'!M:M, "محجوزة"), "")</f>
        <v>0</v>
      </c>
      <c r="AE15" s="34">
        <f>IFERROR(SUMIFS('الوحدات'!L:L, 'الوحدات'!B:B, B15, 'الوحدات'!M:M, "مباعة"), "")</f>
        <v>0</v>
      </c>
      <c r="AF15" s="34">
        <f>IFERROR(
ROUND(
VALUE(
SUBSTITUTE(
SUBSTITUTE(
MINIFS('الوحدات'!L:L,'الوحدات'!B:B,B15),
",",""),
"٬","")
),
0
),
""
)
</f>
        <v>1499000</v>
      </c>
      <c r="AG15" s="34">
        <f>IFERROR(MINIFS('الوحدات'!L:L, 'الوحدات'!B:B, B15, 'الوحدات'!M:M, "متاحة"), "")</f>
        <v>1499000</v>
      </c>
      <c r="AH15" s="34">
        <f>IFERROR(MAXIFS('الوحدات'!L:L, 'الوحدات'!B:B, B15), "")</f>
        <v>1499000</v>
      </c>
      <c r="AI15" s="34">
        <f>IFERROR(MAXIFS('الوحدات'!L:L, 'الوحدات'!B:B, B15, 'الوحدات'!M:M, "متاحة"), "")</f>
        <v>1499000</v>
      </c>
      <c r="AJ15" s="32" t="str">
        <f t="shared" ref="AJ15:AK15" si="54">AH15&amp;"-"&amp;AF15</f>
        <v>1499000-1499000</v>
      </c>
      <c r="AK15" s="37" t="str">
        <f t="shared" si="54"/>
        <v>1499000-1499000</v>
      </c>
      <c r="AL15" s="34">
        <f>IFERROR(MINIFS('الوحدات'!K:K, 'الوحدات'!B:B, B15), "")</f>
        <v>109</v>
      </c>
      <c r="AM15" s="33">
        <f>IFERROR(MINIFS('الوحدات'!K:K, 'الوحدات'!B:B, B15, 'الوحدات'!M:M, "متاحة"), "")</f>
        <v>109</v>
      </c>
      <c r="AN15" s="33">
        <f>IFERROR(MAXIFS('الوحدات'!K:K, 'الوحدات'!B:B, B15), "")</f>
        <v>109</v>
      </c>
      <c r="AO15" s="33">
        <f>IFERROR(MAXIFS('الوحدات'!K:K, 'الوحدات'!B:B, B15, 'الوحدات'!M:M, "متاحة"), "")</f>
        <v>109</v>
      </c>
      <c r="AP15" s="32" t="str">
        <f t="shared" ref="AP15:AQ15" si="55">AN15&amp;"-"&amp;AL15</f>
        <v>109-109</v>
      </c>
      <c r="AQ15" s="32" t="str">
        <f t="shared" si="55"/>
        <v>109-109</v>
      </c>
      <c r="AR15" s="33">
        <f>IFERROR(MINIFS('الوحدات'!N:N, 'الوحدات'!B:B, B15), "")</f>
        <v>3</v>
      </c>
      <c r="AS15" s="33">
        <f>IFERROR(MINIFS('الوحدات'!N:N, 'الوحدات'!B:B, B15, 'الوحدات'!M:M, "متاحة"), "")</f>
        <v>3</v>
      </c>
      <c r="AT15" s="33">
        <f>IFERROR(MAXIFS('الوحدات'!N:N, 'الوحدات'!B:B, B15), "")</f>
        <v>3</v>
      </c>
      <c r="AU15" s="33">
        <f>IFERROR(MAXIFS('الوحدات'!N:N, 'الوحدات'!B:B, B15, 'الوحدات'!M:M, "متاحة"), "")</f>
        <v>3</v>
      </c>
      <c r="AV15" s="14" t="str">
        <f t="shared" ref="AV15:AW15" si="56">AT15&amp;"-"&amp;AR15</f>
        <v>3-3</v>
      </c>
      <c r="AW15" s="14" t="str">
        <f t="shared" si="56"/>
        <v>3-3</v>
      </c>
      <c r="AX15" s="33">
        <f>IFERROR(MINIFS('الوحدات'!O:O, 'الوحدات'!B:B, B15), "")</f>
        <v>2</v>
      </c>
      <c r="AY15" s="38">
        <f>IFERROR(MINIFS('الوحدات'!O:O, 'الوحدات'!B:B, B15, 'الوحدات'!M:M, "متاحة"), "")</f>
        <v>2</v>
      </c>
      <c r="AZ15" s="38">
        <f>IFERROR(MAXIFS('الوحدات'!O:O, 'الوحدات'!B:B, B15), "")</f>
        <v>2</v>
      </c>
      <c r="BA15" s="33">
        <f>IFERROR(MAXIFS('الوحدات'!O:O, 'الوحدات'!B:B, B15, 'الوحدات'!M:M, "متاحة"), "")</f>
        <v>2</v>
      </c>
      <c r="BB15" s="14" t="str">
        <f t="shared" ref="BB15:BC15" si="57">AZ15&amp;"-"&amp;AX15</f>
        <v>2-2</v>
      </c>
      <c r="BC15" s="14" t="str">
        <f t="shared" si="57"/>
        <v>2-2</v>
      </c>
    </row>
    <row r="16">
      <c r="A16" s="65">
        <v>15.0</v>
      </c>
      <c r="B16" s="14" t="s">
        <v>157</v>
      </c>
      <c r="C16" s="70" t="s">
        <v>118</v>
      </c>
      <c r="D16" s="14">
        <v>102.0</v>
      </c>
      <c r="E16" s="69" t="str">
        <f t="shared" si="58"/>
        <v>ألين - 102</v>
      </c>
      <c r="F16" s="26" t="str">
        <f t="array" ref="F16">SWITCH(
XLOOKUP(B16,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16" s="26" t="str">
        <f t="array" ref="G16">SWITCH(
XLOOKUP(B16, 'المشاريع'!B:B, 'المشاريع'!G:G),
"سكني","Residential",
"تجاري","Commercial"
)
</f>
        <v>Residential</v>
      </c>
      <c r="H16" s="26" t="str">
        <f t="array" ref="H16">SUBSTITUTE(
SUBSTITUTE(
SUBSTITUTE(
SUBSTITUTE(
SUBSTITUTE(
XLOOKUP(B16,'المشاريع'!B:B,'المشاريع'!H:H),
"شقة","Apartment"),
"دور","Floor"),
"فيلا","Villa"),
"تاون هاوس","Town House"),
"-",", ")
</f>
        <v>Apartment</v>
      </c>
      <c r="I16" s="27"/>
      <c r="J16" s="71" t="s">
        <v>158</v>
      </c>
      <c r="K16" s="29" t="str">
        <f t="array" ref="K16">SUBSTITUTE(
SUBSTITUTE(
SUBSTITUTE(
SUBSTITUTE(
XLOOKUP(B16, 'المشاريع'!B:B, 'المشاريع'!K:K),
"شمال","North"),
"شرق","East"),
"جنوب","South"),
"غرب","West")
</f>
        <v>North</v>
      </c>
      <c r="L16" s="60" t="s">
        <v>86</v>
      </c>
      <c r="M16" s="60" t="s">
        <v>87</v>
      </c>
      <c r="N16" s="70" t="s">
        <v>159</v>
      </c>
      <c r="O16" s="71" t="s">
        <v>160</v>
      </c>
      <c r="P16" s="14"/>
      <c r="Q16" s="14"/>
      <c r="R16" s="88" t="str">
        <f t="array" ref="R16">SUBSTITUTE(
SUBSTITUTE(
SUBSTITUTE(
SUBSTITUTE(
SUBSTITUTE(
SUBSTITUTE(
SUBSTITUTE(
SUBSTITUTE(
SUBSTITUTE(
SUBSTITUTE(
SUBSTITUTE(
XLOOKUP(B16,'المشاريع'!B:B,'المشاريع'!R:R),"صالة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16" s="32">
        <f>COUNTIF('الوحدات'!B:B, B16)</f>
        <v>2</v>
      </c>
      <c r="T16" s="33">
        <f>COUNTIFS('الوحدات'!B:B, B16, 'الوحدات'!M:M, "متاحة")</f>
        <v>0</v>
      </c>
      <c r="U16" s="33">
        <f>COUNTIFS('الوحدات'!B:B, B16, 'الوحدات'!M:M, "تحت الإنشاء")</f>
        <v>2</v>
      </c>
      <c r="V16" s="33">
        <f>COUNTIFS('الوحدات'!B:B, B16, 'الوحدات'!M:M, "محجوزة")</f>
        <v>0</v>
      </c>
      <c r="W16" s="33">
        <f>COUNTIFS('الوحدات'!B:B, B16, 'الوحدات'!M:M, "مباعة")</f>
        <v>0</v>
      </c>
      <c r="X16" s="34">
        <f>IFERROR(AVERAGEIFS('الوحدات'!L:L, 'الوحدات'!B:B, B16), "")</f>
        <v>1739000</v>
      </c>
      <c r="Y16" s="89" t="str">
        <f>IFERROR(
ROUND(
AVERAGEIFS('الوحدات'!L:L, 'الوحدات'!B:B, B16, 'الوحدات'!M:M, "متاحة"),
2
),
""
)
</f>
        <v/>
      </c>
      <c r="Z16" s="34">
        <f>IFERROR(SUMIFS('الوحدات'!L:L, 'الوحدات'!B:B, B16), "")</f>
        <v>3478000</v>
      </c>
      <c r="AA16" s="36">
        <f t="shared" si="5"/>
        <v>0</v>
      </c>
      <c r="AB16" s="34">
        <f>IFERROR(SUMIFS('الوحدات'!L:L, 'الوحدات'!B:B, B16, 'الوحدات'!M:M, "تحت الإنشاء"), "")</f>
        <v>3478000</v>
      </c>
      <c r="AC16" s="34">
        <f>IFERROR(SUMIFS('الوحدات'!L:L, 'الوحدات'!B:B, B16, 'الوحدات'!M:M, "متاحة"), "")</f>
        <v>0</v>
      </c>
      <c r="AD16" s="34">
        <f>IFERROR(SUMIFS('الوحدات'!L:L, 'الوحدات'!B:B, B16, 'الوحدات'!M:M, "محجوزة"), "")</f>
        <v>0</v>
      </c>
      <c r="AE16" s="34">
        <f>IFERROR(SUMIFS('الوحدات'!L:L, 'الوحدات'!B:B, B16, 'الوحدات'!M:M, "مباعة"), "")</f>
        <v>0</v>
      </c>
      <c r="AF16" s="34">
        <f>IFERROR(
ROUND(
VALUE(
SUBSTITUTE(
SUBSTITUTE(
MINIFS('الوحدات'!L:L,'الوحدات'!B:B,B16),
",",""),
"٬","")
),
0
),
""
)
</f>
        <v>1599000</v>
      </c>
      <c r="AG16" s="34">
        <f>IFERROR(MINIFS('الوحدات'!L:L, 'الوحدات'!B:B, B16, 'الوحدات'!M:M, "متاحة"), "")</f>
        <v>0</v>
      </c>
      <c r="AH16" s="34">
        <f>IFERROR(MAXIFS('الوحدات'!L:L, 'الوحدات'!B:B, B16), "")</f>
        <v>1879000</v>
      </c>
      <c r="AI16" s="34">
        <f>IFERROR(MAXIFS('الوحدات'!L:L, 'الوحدات'!B:B, B16, 'الوحدات'!M:M, "متاحة"), "")</f>
        <v>0</v>
      </c>
      <c r="AJ16" s="32" t="str">
        <f t="shared" ref="AJ16:AK16" si="59">AH16&amp;"-"&amp;AF16</f>
        <v>1879000-1599000</v>
      </c>
      <c r="AK16" s="37" t="str">
        <f t="shared" si="59"/>
        <v>0-0</v>
      </c>
      <c r="AL16" s="34">
        <f>IFERROR(MINIFS('الوحدات'!K:K, 'الوحدات'!B:B, B16), "")</f>
        <v>99</v>
      </c>
      <c r="AM16" s="33">
        <f>IFERROR(MINIFS('الوحدات'!K:K, 'الوحدات'!B:B, B16, 'الوحدات'!M:M, "متاحة"), "")</f>
        <v>0</v>
      </c>
      <c r="AN16" s="33">
        <f>IFERROR(MAXIFS('الوحدات'!K:K, 'الوحدات'!B:B, B16), "")</f>
        <v>137</v>
      </c>
      <c r="AO16" s="33">
        <f>IFERROR(MAXIFS('الوحدات'!K:K, 'الوحدات'!B:B, B16, 'الوحدات'!M:M, "متاحة"), "")</f>
        <v>0</v>
      </c>
      <c r="AP16" s="32" t="str">
        <f t="shared" ref="AP16:AQ16" si="60">AN16&amp;"-"&amp;AL16</f>
        <v>137-99</v>
      </c>
      <c r="AQ16" s="32" t="str">
        <f t="shared" si="60"/>
        <v>0-0</v>
      </c>
      <c r="AR16" s="33">
        <f>IFERROR(MINIFS('الوحدات'!N:N, 'الوحدات'!B:B, B16), "")</f>
        <v>2</v>
      </c>
      <c r="AS16" s="33">
        <f>IFERROR(MINIFS('الوحدات'!N:N, 'الوحدات'!B:B, B16, 'الوحدات'!M:M, "متاحة"), "")</f>
        <v>0</v>
      </c>
      <c r="AT16" s="33">
        <f>IFERROR(MAXIFS('الوحدات'!N:N, 'الوحدات'!B:B, B16), "")</f>
        <v>3</v>
      </c>
      <c r="AU16" s="33">
        <f>IFERROR(MAXIFS('الوحدات'!N:N, 'الوحدات'!B:B, B16, 'الوحدات'!M:M, "متاحة"), "")</f>
        <v>0</v>
      </c>
      <c r="AV16" s="14" t="str">
        <f t="shared" ref="AV16:AW16" si="61">AT16&amp;"-"&amp;AR16</f>
        <v>3-2</v>
      </c>
      <c r="AW16" s="14" t="str">
        <f t="shared" si="61"/>
        <v>0-0</v>
      </c>
      <c r="AX16" s="33">
        <f>IFERROR(MINIFS('الوحدات'!O:O, 'الوحدات'!B:B, B16), "")</f>
        <v>3</v>
      </c>
      <c r="AY16" s="38">
        <f>IFERROR(MINIFS('الوحدات'!O:O, 'الوحدات'!B:B, B16, 'الوحدات'!M:M, "متاحة"), "")</f>
        <v>0</v>
      </c>
      <c r="AZ16" s="38">
        <f>IFERROR(MAXIFS('الوحدات'!O:O, 'الوحدات'!B:B, B16), "")</f>
        <v>4</v>
      </c>
      <c r="BA16" s="33">
        <f>IFERROR(MAXIFS('الوحدات'!O:O, 'الوحدات'!B:B, B16, 'الوحدات'!M:M, "متاحة"), "")</f>
        <v>0</v>
      </c>
      <c r="BB16" s="14" t="str">
        <f t="shared" ref="BB16:BC16" si="62">AZ16&amp;"-"&amp;AX16</f>
        <v>4-3</v>
      </c>
      <c r="BC16" s="14" t="str">
        <f t="shared" si="62"/>
        <v>0-0</v>
      </c>
    </row>
    <row r="17">
      <c r="A17" s="65">
        <v>16.0</v>
      </c>
      <c r="B17" s="14" t="s">
        <v>161</v>
      </c>
      <c r="C17" s="70" t="s">
        <v>118</v>
      </c>
      <c r="D17" s="14">
        <v>104.0</v>
      </c>
      <c r="E17" s="69" t="str">
        <f t="shared" si="58"/>
        <v>ألين - 104</v>
      </c>
      <c r="F17" s="26" t="str">
        <f t="array" ref="F17">SWITCH(
XLOOKUP(B17,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Partly Under Construction</v>
      </c>
      <c r="G17" s="26" t="str">
        <f t="array" ref="G17">SWITCH(
XLOOKUP(B17, 'المشاريع'!B:B, 'المشاريع'!G:G),
"سكني","Residential",
"تجاري","Commercial"
)
</f>
        <v>Residential</v>
      </c>
      <c r="H17" s="26" t="str">
        <f t="array" ref="H17">SUBSTITUTE(
SUBSTITUTE(
SUBSTITUTE(
SUBSTITUTE(
SUBSTITUTE(
XLOOKUP(B17,'المشاريع'!B:B,'المشاريع'!H:H),
"شقة","Apartment"),
"دور","Floor"),
"فيلا","Villa"),
"تاون هاوس","Town House"),
"-",", ")
</f>
        <v>Apartment</v>
      </c>
      <c r="I17" s="27"/>
      <c r="J17" s="71" t="s">
        <v>162</v>
      </c>
      <c r="K17" s="29" t="str">
        <f t="array" ref="K17">SUBSTITUTE(
SUBSTITUTE(
SUBSTITUTE(
SUBSTITUTE(
XLOOKUP(B17, 'المشاريع'!B:B, 'المشاريع'!K:K),
"شمال","North"),
"شرق","East"),
"جنوب","South"),
"غرب","West")
</f>
        <v>North</v>
      </c>
      <c r="L17" s="60" t="s">
        <v>86</v>
      </c>
      <c r="M17" s="60" t="s">
        <v>87</v>
      </c>
      <c r="N17" s="70" t="s">
        <v>163</v>
      </c>
      <c r="O17" s="71" t="s">
        <v>164</v>
      </c>
      <c r="P17" s="14"/>
      <c r="Q17" s="14"/>
      <c r="R17" s="88" t="str">
        <f t="array" ref="R17">SUBSTITUTE(
SUBSTITUTE(
SUBSTITUTE(
SUBSTITUTE(
SUBSTITUTE(
SUBSTITUTE(
SUBSTITUTE(
SUBSTITUTE(
SUBSTITUTE(
SUBSTITUTE(
SUBSTITUTE(
XLOOKUP(B17,'المشاريع'!B:B,'المشاريع'!R:R),"صالة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17" s="32">
        <f>COUNTIF('الوحدات'!B:B, B17)</f>
        <v>3</v>
      </c>
      <c r="T17" s="33">
        <f>COUNTIFS('الوحدات'!B:B, B17, 'الوحدات'!M:M, "متاحة")</f>
        <v>0</v>
      </c>
      <c r="U17" s="33">
        <f>COUNTIFS('الوحدات'!B:B, B17, 'الوحدات'!M:M, "تحت الإنشاء")</f>
        <v>1</v>
      </c>
      <c r="V17" s="33">
        <f>COUNTIFS('الوحدات'!B:B, B17, 'الوحدات'!M:M, "محجوزة")</f>
        <v>0</v>
      </c>
      <c r="W17" s="33">
        <f>COUNTIFS('الوحدات'!B:B, B17, 'الوحدات'!M:M, "مباعة")</f>
        <v>2</v>
      </c>
      <c r="X17" s="34">
        <f>IFERROR(AVERAGEIFS('الوحدات'!L:L, 'الوحدات'!B:B, B17), "")</f>
        <v>1945666.667</v>
      </c>
      <c r="Y17" s="89" t="str">
        <f>IFERROR(
ROUND(
AVERAGEIFS('الوحدات'!L:L, 'الوحدات'!B:B, B17, 'الوحدات'!M:M, "متاحة"),
2
),
""
)
</f>
        <v/>
      </c>
      <c r="Z17" s="34">
        <f>IFERROR(SUMIFS('الوحدات'!L:L, 'الوحدات'!B:B, B17), "")</f>
        <v>5837000</v>
      </c>
      <c r="AA17" s="36">
        <f t="shared" si="5"/>
        <v>0.68</v>
      </c>
      <c r="AB17" s="34">
        <f>IFERROR(SUMIFS('الوحدات'!L:L, 'الوحدات'!B:B, B17, 'الوحدات'!M:M, "تحت الإنشاء"), "")</f>
        <v>1839000</v>
      </c>
      <c r="AC17" s="34">
        <f>IFERROR(SUMIFS('الوحدات'!L:L, 'الوحدات'!B:B, B17, 'الوحدات'!M:M, "متاحة"), "")</f>
        <v>0</v>
      </c>
      <c r="AD17" s="34">
        <f>IFERROR(SUMIFS('الوحدات'!L:L, 'الوحدات'!B:B, B17, 'الوحدات'!M:M, "محجوزة"), "")</f>
        <v>0</v>
      </c>
      <c r="AE17" s="34">
        <f>IFERROR(SUMIFS('الوحدات'!L:L, 'الوحدات'!B:B, B17, 'الوحدات'!M:M, "مباعة"), "")</f>
        <v>3998000</v>
      </c>
      <c r="AF17" s="34">
        <f>IFERROR(
ROUND(
VALUE(
SUBSTITUTE(
SUBSTITUTE(
MINIFS('الوحدات'!L:L,'الوحدات'!B:B,B17),
",",""),
"٬","")
),
0
),
""
)
</f>
        <v>1839000</v>
      </c>
      <c r="AG17" s="34">
        <f>IFERROR(MINIFS('الوحدات'!L:L, 'الوحدات'!B:B, B17, 'الوحدات'!M:M, "متاحة"), "")</f>
        <v>0</v>
      </c>
      <c r="AH17" s="34">
        <f>IFERROR(MAXIFS('الوحدات'!L:L, 'الوحدات'!B:B, B17), "")</f>
        <v>1999000</v>
      </c>
      <c r="AI17" s="34">
        <f>IFERROR(MAXIFS('الوحدات'!L:L, 'الوحدات'!B:B, B17, 'الوحدات'!M:M, "متاحة"), "")</f>
        <v>0</v>
      </c>
      <c r="AJ17" s="32" t="str">
        <f t="shared" ref="AJ17:AK17" si="63">AH17&amp;"-"&amp;AF17</f>
        <v>1999000-1839000</v>
      </c>
      <c r="AK17" s="37" t="str">
        <f t="shared" si="63"/>
        <v>0-0</v>
      </c>
      <c r="AL17" s="34">
        <f>IFERROR(MINIFS('الوحدات'!K:K, 'الوحدات'!B:B, B17), "")</f>
        <v>149</v>
      </c>
      <c r="AM17" s="33">
        <f>IFERROR(MINIFS('الوحدات'!K:K, 'الوحدات'!B:B, B17, 'الوحدات'!M:M, "متاحة"), "")</f>
        <v>0</v>
      </c>
      <c r="AN17" s="33">
        <f>IFERROR(MAXIFS('الوحدات'!K:K, 'الوحدات'!B:B, B17), "")</f>
        <v>164</v>
      </c>
      <c r="AO17" s="33">
        <f>IFERROR(MAXIFS('الوحدات'!K:K, 'الوحدات'!B:B, B17, 'الوحدات'!M:M, "متاحة"), "")</f>
        <v>0</v>
      </c>
      <c r="AP17" s="32" t="str">
        <f t="shared" ref="AP17:AQ17" si="64">AN17&amp;"-"&amp;AL17</f>
        <v>164-149</v>
      </c>
      <c r="AQ17" s="32" t="str">
        <f t="shared" si="64"/>
        <v>0-0</v>
      </c>
      <c r="AR17" s="33">
        <f>IFERROR(MINIFS('الوحدات'!N:N, 'الوحدات'!B:B, B17), "")</f>
        <v>4</v>
      </c>
      <c r="AS17" s="33">
        <f>IFERROR(MINIFS('الوحدات'!N:N, 'الوحدات'!B:B, B17, 'الوحدات'!M:M, "متاحة"), "")</f>
        <v>0</v>
      </c>
      <c r="AT17" s="33">
        <f>IFERROR(MAXIFS('الوحدات'!N:N, 'الوحدات'!B:B, B17), "")</f>
        <v>4</v>
      </c>
      <c r="AU17" s="33">
        <f>IFERROR(MAXIFS('الوحدات'!N:N, 'الوحدات'!B:B, B17, 'الوحدات'!M:M, "متاحة"), "")</f>
        <v>0</v>
      </c>
      <c r="AV17" s="14" t="str">
        <f t="shared" ref="AV17:AW17" si="65">AT17&amp;"-"&amp;AR17</f>
        <v>4-4</v>
      </c>
      <c r="AW17" s="14" t="str">
        <f t="shared" si="65"/>
        <v>0-0</v>
      </c>
      <c r="AX17" s="33">
        <f>IFERROR(MINIFS('الوحدات'!O:O, 'الوحدات'!B:B, B17), "")</f>
        <v>3</v>
      </c>
      <c r="AY17" s="38">
        <f>IFERROR(MINIFS('الوحدات'!O:O, 'الوحدات'!B:B, B17, 'الوحدات'!M:M, "متاحة"), "")</f>
        <v>0</v>
      </c>
      <c r="AZ17" s="38">
        <f>IFERROR(MAXIFS('الوحدات'!O:O, 'الوحدات'!B:B, B17), "")</f>
        <v>3</v>
      </c>
      <c r="BA17" s="33">
        <f>IFERROR(MAXIFS('الوحدات'!O:O, 'الوحدات'!B:B, B17, 'الوحدات'!M:M, "متاحة"), "")</f>
        <v>0</v>
      </c>
      <c r="BB17" s="14" t="str">
        <f t="shared" ref="BB17:BC17" si="66">AZ17&amp;"-"&amp;AX17</f>
        <v>3-3</v>
      </c>
      <c r="BC17" s="14" t="str">
        <f t="shared" si="66"/>
        <v>0-0</v>
      </c>
    </row>
    <row r="18">
      <c r="A18" s="65">
        <v>17.0</v>
      </c>
      <c r="B18" s="14" t="s">
        <v>165</v>
      </c>
      <c r="C18" s="70" t="s">
        <v>118</v>
      </c>
      <c r="D18" s="14">
        <v>112.0</v>
      </c>
      <c r="E18" s="69" t="str">
        <f t="shared" si="58"/>
        <v>ألين - 112</v>
      </c>
      <c r="F18" s="26" t="str">
        <f t="array" ref="F18">SWITCH(
XLOOKUP(B18,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18" s="26" t="str">
        <f t="array" ref="G18">SWITCH(
XLOOKUP(B18, 'المشاريع'!B:B, 'المشاريع'!G:G),
"سكني","Residential",
"تجاري","Commercial"
)
</f>
        <v>Residential</v>
      </c>
      <c r="H18" s="26" t="str">
        <f t="array" ref="H18">SUBSTITUTE(
SUBSTITUTE(
SUBSTITUTE(
SUBSTITUTE(
SUBSTITUTE(
XLOOKUP(B18,'المشاريع'!B:B,'المشاريع'!H:H),
"شقة","Apartment"),
"دور","Floor"),
"فيلا","Villa"),
"تاون هاوس","Town House"),
"-",", ")
</f>
        <v>Apartment</v>
      </c>
      <c r="I18" s="27"/>
      <c r="J18" s="71" t="s">
        <v>166</v>
      </c>
      <c r="K18" s="29" t="str">
        <f t="array" ref="K18">SUBSTITUTE(
SUBSTITUTE(
SUBSTITUTE(
SUBSTITUTE(
XLOOKUP(B18, 'المشاريع'!B:B, 'المشاريع'!K:K),
"شمال","North"),
"شرق","East"),
"جنوب","South"),
"غرب","West")
</f>
        <v>North</v>
      </c>
      <c r="L18" s="60" t="s">
        <v>86</v>
      </c>
      <c r="M18" s="60" t="s">
        <v>87</v>
      </c>
      <c r="N18" s="70" t="s">
        <v>167</v>
      </c>
      <c r="O18" s="72" t="s">
        <v>168</v>
      </c>
      <c r="P18" s="73"/>
      <c r="Q18" s="73"/>
      <c r="R18" s="88" t="str">
        <f t="array" ref="R18">SUBSTITUTE(
SUBSTITUTE(
SUBSTITUTE(
SUBSTITUTE(
SUBSTITUTE(
SUBSTITUTE(
SUBSTITUTE(
SUBSTITUTE(
SUBSTITUTE(
SUBSTITUTE(
SUBSTITUTE(
XLOOKUP(B18,'المشاريع'!B:B,'المشاريع'!R:R),"صالة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18" s="32">
        <f>COUNTIF('الوحدات'!B:B, B18)</f>
        <v>7</v>
      </c>
      <c r="T18" s="33">
        <f>COUNTIFS('الوحدات'!B:B, B18, 'الوحدات'!M:M, "متاحة")</f>
        <v>0</v>
      </c>
      <c r="U18" s="33">
        <f>COUNTIFS('الوحدات'!B:B, B18, 'الوحدات'!M:M, "تحت الإنشاء")</f>
        <v>7</v>
      </c>
      <c r="V18" s="33">
        <f>COUNTIFS('الوحدات'!B:B, B18, 'الوحدات'!M:M, "محجوزة")</f>
        <v>0</v>
      </c>
      <c r="W18" s="33">
        <f>COUNTIFS('الوحدات'!B:B, B18, 'الوحدات'!M:M, "مباعة")</f>
        <v>0</v>
      </c>
      <c r="X18" s="34">
        <f>IFERROR(AVERAGEIFS('الوحدات'!L:L, 'الوحدات'!B:B, B18), "")</f>
        <v>1753285.714</v>
      </c>
      <c r="Y18" s="89" t="str">
        <f>IFERROR(
ROUND(
AVERAGEIFS('الوحدات'!L:L, 'الوحدات'!B:B, B18, 'الوحدات'!M:M, "متاحة"),
2
),
""
)
</f>
        <v/>
      </c>
      <c r="Z18" s="34">
        <f>IFERROR(SUMIFS('الوحدات'!L:L, 'الوحدات'!B:B, B18), "")</f>
        <v>12273000</v>
      </c>
      <c r="AA18" s="36">
        <f t="shared" si="5"/>
        <v>0</v>
      </c>
      <c r="AB18" s="34">
        <f>IFERROR(SUMIFS('الوحدات'!L:L, 'الوحدات'!B:B, B18, 'الوحدات'!M:M, "تحت الإنشاء"), "")</f>
        <v>12273000</v>
      </c>
      <c r="AC18" s="34">
        <f>IFERROR(SUMIFS('الوحدات'!L:L, 'الوحدات'!B:B, B18, 'الوحدات'!M:M, "متاحة"), "")</f>
        <v>0</v>
      </c>
      <c r="AD18" s="34">
        <f>IFERROR(SUMIFS('الوحدات'!L:L, 'الوحدات'!B:B, B18, 'الوحدات'!M:M, "محجوزة"), "")</f>
        <v>0</v>
      </c>
      <c r="AE18" s="34">
        <f>IFERROR(SUMIFS('الوحدات'!L:L, 'الوحدات'!B:B, B18, 'الوحدات'!M:M, "مباعة"), "")</f>
        <v>0</v>
      </c>
      <c r="AF18" s="34">
        <f>IFERROR(
ROUND(
VALUE(
SUBSTITUTE(
SUBSTITUTE(
MINIFS('الوحدات'!L:L,'الوحدات'!B:B,B18),
",",""),
"٬","")
),
0
),
""
)
</f>
        <v>1549000</v>
      </c>
      <c r="AG18" s="34">
        <f>IFERROR(MINIFS('الوحدات'!L:L, 'الوحدات'!B:B, B18, 'الوحدات'!M:M, "متاحة"), "")</f>
        <v>0</v>
      </c>
      <c r="AH18" s="34">
        <f>IFERROR(MAXIFS('الوحدات'!L:L, 'الوحدات'!B:B, B18), "")</f>
        <v>1999000</v>
      </c>
      <c r="AI18" s="34">
        <f>IFERROR(MAXIFS('الوحدات'!L:L, 'الوحدات'!B:B, B18, 'الوحدات'!M:M, "متاحة"), "")</f>
        <v>0</v>
      </c>
      <c r="AJ18" s="32" t="str">
        <f t="shared" ref="AJ18:AK18" si="67">AH18&amp;"-"&amp;AF18</f>
        <v>1999000-1549000</v>
      </c>
      <c r="AK18" s="37" t="str">
        <f t="shared" si="67"/>
        <v>0-0</v>
      </c>
      <c r="AL18" s="34">
        <f>IFERROR(MINIFS('الوحدات'!K:K, 'الوحدات'!B:B, B18), "")</f>
        <v>114</v>
      </c>
      <c r="AM18" s="33">
        <f>IFERROR(MINIFS('الوحدات'!K:K, 'الوحدات'!B:B, B18, 'الوحدات'!M:M, "متاحة"), "")</f>
        <v>0</v>
      </c>
      <c r="AN18" s="33">
        <f>IFERROR(MAXIFS('الوحدات'!K:K, 'الوحدات'!B:B, B18), "")</f>
        <v>135</v>
      </c>
      <c r="AO18" s="33">
        <f>IFERROR(MAXIFS('الوحدات'!K:K, 'الوحدات'!B:B, B18, 'الوحدات'!M:M, "متاحة"), "")</f>
        <v>0</v>
      </c>
      <c r="AP18" s="32" t="str">
        <f t="shared" ref="AP18:AQ18" si="68">AN18&amp;"-"&amp;AL18</f>
        <v>135-114</v>
      </c>
      <c r="AQ18" s="32" t="str">
        <f t="shared" si="68"/>
        <v>0-0</v>
      </c>
      <c r="AR18" s="33">
        <f>IFERROR(MINIFS('الوحدات'!N:N, 'الوحدات'!B:B, B18), "")</f>
        <v>3</v>
      </c>
      <c r="AS18" s="33">
        <f>IFERROR(MINIFS('الوحدات'!N:N, 'الوحدات'!B:B, B18, 'الوحدات'!M:M, "متاحة"), "")</f>
        <v>0</v>
      </c>
      <c r="AT18" s="33">
        <f>IFERROR(MAXIFS('الوحدات'!N:N, 'الوحدات'!B:B, B18), "")</f>
        <v>3</v>
      </c>
      <c r="AU18" s="33">
        <f>IFERROR(MAXIFS('الوحدات'!N:N, 'الوحدات'!B:B, B18, 'الوحدات'!M:M, "متاحة"), "")</f>
        <v>0</v>
      </c>
      <c r="AV18" s="14" t="str">
        <f t="shared" ref="AV18:AW18" si="69">AT18&amp;"-"&amp;AR18</f>
        <v>3-3</v>
      </c>
      <c r="AW18" s="14" t="str">
        <f t="shared" si="69"/>
        <v>0-0</v>
      </c>
      <c r="AX18" s="33">
        <f>IFERROR(MINIFS('الوحدات'!O:O, 'الوحدات'!B:B, B18), "")</f>
        <v>3</v>
      </c>
      <c r="AY18" s="38">
        <f>IFERROR(MINIFS('الوحدات'!O:O, 'الوحدات'!B:B, B18, 'الوحدات'!M:M, "متاحة"), "")</f>
        <v>0</v>
      </c>
      <c r="AZ18" s="38">
        <f>IFERROR(MAXIFS('الوحدات'!O:O, 'الوحدات'!B:B, B18), "")</f>
        <v>3</v>
      </c>
      <c r="BA18" s="33">
        <f>IFERROR(MAXIFS('الوحدات'!O:O, 'الوحدات'!B:B, B18, 'الوحدات'!M:M, "متاحة"), "")</f>
        <v>0</v>
      </c>
      <c r="BB18" s="14" t="str">
        <f t="shared" ref="BB18:BC18" si="70">AZ18&amp;"-"&amp;AX18</f>
        <v>3-3</v>
      </c>
      <c r="BC18" s="14" t="str">
        <f t="shared" si="70"/>
        <v>0-0</v>
      </c>
    </row>
    <row r="19">
      <c r="A19" s="118">
        <v>18.0</v>
      </c>
      <c r="B19" s="107" t="s">
        <v>169</v>
      </c>
      <c r="C19" s="119" t="s">
        <v>118</v>
      </c>
      <c r="D19" s="107">
        <v>122.0</v>
      </c>
      <c r="E19" s="120" t="str">
        <f t="shared" si="58"/>
        <v>ألين - 122</v>
      </c>
      <c r="F19" s="92" t="str">
        <f t="array" ref="F19">SWITCH(
XLOOKUP(B19,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19" s="92" t="str">
        <f t="array" ref="G19">SWITCH(
XLOOKUP(B19, 'المشاريع'!B:B, 'المشاريع'!G:G),
"سكني","Residential",
"تجاري","Commercial"
)
</f>
        <v>Residential</v>
      </c>
      <c r="H19" s="92" t="str">
        <f t="array" ref="H19">SUBSTITUTE(
SUBSTITUTE(
SUBSTITUTE(
SUBSTITUTE(
SUBSTITUTE(
XLOOKUP(B19,'المشاريع'!B:B,'المشاريع'!H:H),
"شقة","Apartment"),
"دور","Floor"),
"فيلا","Villa"),
"تاون هاوس","Town House"),
"-",", ")
</f>
        <v>Apartment</v>
      </c>
      <c r="I19" s="121">
        <v>46203.0</v>
      </c>
      <c r="J19" s="122" t="s">
        <v>171</v>
      </c>
      <c r="K19" s="95" t="str">
        <f t="array" ref="K19">SUBSTITUTE(
SUBSTITUTE(
SUBSTITUTE(
SUBSTITUTE(
XLOOKUP(B19, 'المشاريع'!B:B, 'المشاريع'!K:K),
"شمال","North"),
"شرق","East"),
"جنوب","South"),
"غرب","West")
</f>
        <v>North</v>
      </c>
      <c r="L19" s="117" t="s">
        <v>86</v>
      </c>
      <c r="M19" s="117" t="s">
        <v>87</v>
      </c>
      <c r="N19" s="119" t="s">
        <v>172</v>
      </c>
      <c r="O19" s="123" t="s">
        <v>173</v>
      </c>
      <c r="P19" s="124"/>
      <c r="Q19" s="124"/>
      <c r="R19" s="100" t="str">
        <f t="array" ref="R19">SUBSTITUTE(
SUBSTITUTE(
SUBSTITUTE(
SUBSTITUTE(
SUBSTITUTE(
SUBSTITUTE(
SUBSTITUTE(
SUBSTITUTE(
SUBSTITUTE(
SUBSTITUTE(
SUBSTITUTE(
XLOOKUP(B19,'المشاريع'!B:B,'المشاريع'!R:R),"صالة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19" s="101">
        <f>COUNTIF('الوحدات'!B:B, B19)</f>
        <v>8</v>
      </c>
      <c r="T19" s="102">
        <f>COUNTIFS('الوحدات'!B:B, B19, 'الوحدات'!M:M, "متاحة")</f>
        <v>0</v>
      </c>
      <c r="U19" s="102">
        <f>COUNTIFS('الوحدات'!B:B, B19, 'الوحدات'!M:M, "تحت الإنشاء")</f>
        <v>8</v>
      </c>
      <c r="V19" s="102">
        <f>COUNTIFS('الوحدات'!B:B, B19, 'الوحدات'!M:M, "محجوزة")</f>
        <v>0</v>
      </c>
      <c r="W19" s="102">
        <f>COUNTIFS('الوحدات'!B:B, B19, 'الوحدات'!M:M, "مباعة")</f>
        <v>0</v>
      </c>
      <c r="X19" s="103">
        <f>IFERROR(AVERAGEIFS('الوحدات'!L:L, 'الوحدات'!B:B, B19), "")</f>
        <v>1705250</v>
      </c>
      <c r="Y19" s="104" t="str">
        <f>IFERROR(
ROUND(
AVERAGEIFS('الوحدات'!L:L, 'الوحدات'!B:B, B19, 'الوحدات'!M:M, "متاحة"),
2
),
""
)
</f>
        <v/>
      </c>
      <c r="Z19" s="103">
        <f>IFERROR(SUMIFS('الوحدات'!L:L, 'الوحدات'!B:B, B19), "")</f>
        <v>13642000</v>
      </c>
      <c r="AA19" s="105">
        <f t="shared" si="5"/>
        <v>0</v>
      </c>
      <c r="AB19" s="103">
        <f>IFERROR(SUMIFS('الوحدات'!L:L, 'الوحدات'!B:B, B19, 'الوحدات'!M:M, "تحت الإنشاء"), "")</f>
        <v>13642000</v>
      </c>
      <c r="AC19" s="103">
        <f>IFERROR(SUMIFS('الوحدات'!L:L, 'الوحدات'!B:B, B19, 'الوحدات'!M:M, "متاحة"), "")</f>
        <v>0</v>
      </c>
      <c r="AD19" s="103">
        <f>IFERROR(SUMIFS('الوحدات'!L:L, 'الوحدات'!B:B, B19, 'الوحدات'!M:M, "محجوزة"), "")</f>
        <v>0</v>
      </c>
      <c r="AE19" s="103">
        <f>IFERROR(SUMIFS('الوحدات'!L:L, 'الوحدات'!B:B, B19, 'الوحدات'!M:M, "مباعة"), "")</f>
        <v>0</v>
      </c>
      <c r="AF19" s="34">
        <f>IFERROR(
ROUND(
VALUE(
SUBSTITUTE(
SUBSTITUTE(
MINIFS('الوحدات'!L:L,'الوحدات'!B:B,B19),
",",""),
"٬","")
),
0
),
""
)
</f>
        <v>1389000</v>
      </c>
      <c r="AG19" s="103">
        <f>IFERROR(MINIFS('الوحدات'!L:L, 'الوحدات'!B:B, B19, 'الوحدات'!M:M, "متاحة"), "")</f>
        <v>0</v>
      </c>
      <c r="AH19" s="103">
        <f>IFERROR(MAXIFS('الوحدات'!L:L, 'الوحدات'!B:B, B19), "")</f>
        <v>2099000</v>
      </c>
      <c r="AI19" s="103">
        <f>IFERROR(MAXIFS('الوحدات'!L:L, 'الوحدات'!B:B, B19, 'الوحدات'!M:M, "متاحة"), "")</f>
        <v>0</v>
      </c>
      <c r="AJ19" s="101" t="str">
        <f t="shared" ref="AJ19:AK19" si="71">AH19&amp;"-"&amp;AF19</f>
        <v>2099000-1389000</v>
      </c>
      <c r="AK19" s="106" t="str">
        <f t="shared" si="71"/>
        <v>0-0</v>
      </c>
      <c r="AL19" s="103">
        <f>IFERROR(MINIFS('الوحدات'!K:K, 'الوحدات'!B:B, B19), "")</f>
        <v>98</v>
      </c>
      <c r="AM19" s="102">
        <f>IFERROR(MINIFS('الوحدات'!K:K, 'الوحدات'!B:B, B19, 'الوحدات'!M:M, "متاحة"), "")</f>
        <v>0</v>
      </c>
      <c r="AN19" s="102">
        <f>IFERROR(MAXIFS('الوحدات'!K:K, 'الوحدات'!B:B, B19), "")</f>
        <v>139</v>
      </c>
      <c r="AO19" s="102">
        <f>IFERROR(MAXIFS('الوحدات'!K:K, 'الوحدات'!B:B, B19, 'الوحدات'!M:M, "متاحة"), "")</f>
        <v>0</v>
      </c>
      <c r="AP19" s="101" t="str">
        <f t="shared" ref="AP19:AQ19" si="72">AN19&amp;"-"&amp;AL19</f>
        <v>139-98</v>
      </c>
      <c r="AQ19" s="101" t="str">
        <f t="shared" si="72"/>
        <v>0-0</v>
      </c>
      <c r="AR19" s="102">
        <f>IFERROR(MINIFS('الوحدات'!N:N, 'الوحدات'!B:B, B19), "")</f>
        <v>1</v>
      </c>
      <c r="AS19" s="102">
        <f>IFERROR(MINIFS('الوحدات'!N:N, 'الوحدات'!B:B, B19, 'الوحدات'!M:M, "متاحة"), "")</f>
        <v>0</v>
      </c>
      <c r="AT19" s="102">
        <f>IFERROR(MAXIFS('الوحدات'!N:N, 'الوحدات'!B:B, B19), "")</f>
        <v>3</v>
      </c>
      <c r="AU19" s="102">
        <f>IFERROR(MAXIFS('الوحدات'!N:N, 'الوحدات'!B:B, B19, 'الوحدات'!M:M, "متاحة"), "")</f>
        <v>0</v>
      </c>
      <c r="AV19" s="107" t="str">
        <f t="shared" ref="AV19:AW19" si="73">AT19&amp;"-"&amp;AR19</f>
        <v>3-1</v>
      </c>
      <c r="AW19" s="107" t="str">
        <f t="shared" si="73"/>
        <v>0-0</v>
      </c>
      <c r="AX19" s="102">
        <f>IFERROR(MINIFS('الوحدات'!O:O, 'الوحدات'!B:B, B19), "")</f>
        <v>2</v>
      </c>
      <c r="AY19" s="108">
        <f>IFERROR(MINIFS('الوحدات'!O:O, 'الوحدات'!B:B, B19, 'الوحدات'!M:M, "متاحة"), "")</f>
        <v>0</v>
      </c>
      <c r="AZ19" s="108">
        <f>IFERROR(MAXIFS('الوحدات'!O:O, 'الوحدات'!B:B, B19), "")</f>
        <v>4</v>
      </c>
      <c r="BA19" s="102">
        <f>IFERROR(MAXIFS('الوحدات'!O:O, 'الوحدات'!B:B, B19, 'الوحدات'!M:M, "متاحة"), "")</f>
        <v>0</v>
      </c>
      <c r="BB19" s="107" t="str">
        <f t="shared" ref="BB19:BC19" si="74">AZ19&amp;"-"&amp;AX19</f>
        <v>4-2</v>
      </c>
      <c r="BC19" s="107" t="str">
        <f t="shared" si="74"/>
        <v>0-0</v>
      </c>
    </row>
    <row r="20">
      <c r="A20" s="65">
        <v>19.0</v>
      </c>
      <c r="B20" s="14" t="s">
        <v>174</v>
      </c>
      <c r="C20" s="70" t="s">
        <v>118</v>
      </c>
      <c r="D20" s="14">
        <v>126.0</v>
      </c>
      <c r="E20" s="69" t="str">
        <f t="shared" si="58"/>
        <v>ألين - 126</v>
      </c>
      <c r="F20" s="26" t="str">
        <f t="array" ref="F20">SWITCH(
XLOOKUP(B20,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0" s="26" t="str">
        <f t="array" ref="G20">SWITCH(
XLOOKUP(B20, 'المشاريع'!B:B, 'المشاريع'!G:G),
"سكني","Residential",
"تجاري","Commercial"
)
</f>
        <v>Residential</v>
      </c>
      <c r="H20" s="26" t="str">
        <f t="array" ref="H20">SUBSTITUTE(
SUBSTITUTE(
SUBSTITUTE(
SUBSTITUTE(
SUBSTITUTE(
XLOOKUP(B20,'المشاريع'!B:B,'المشاريع'!H:H),
"شقة","Apartment"),
"دور","Floor"),
"فيلا","Villa"),
"تاون هاوس","Town House"),
"-",", ")
</f>
        <v>Apartment</v>
      </c>
      <c r="I20" s="74">
        <v>46193.0</v>
      </c>
      <c r="J20" s="75" t="s">
        <v>175</v>
      </c>
      <c r="K20" s="29" t="str">
        <f t="array" ref="K20">SUBSTITUTE(
SUBSTITUTE(
SUBSTITUTE(
SUBSTITUTE(
XLOOKUP(B20, 'المشاريع'!B:B, 'المشاريع'!K:K),
"شمال","North"),
"شرق","East"),
"جنوب","South"),
"غرب","West")
</f>
        <v>North</v>
      </c>
      <c r="L20" s="60" t="s">
        <v>86</v>
      </c>
      <c r="M20" s="60" t="s">
        <v>87</v>
      </c>
      <c r="N20" s="70" t="s">
        <v>176</v>
      </c>
      <c r="O20" s="72" t="s">
        <v>177</v>
      </c>
      <c r="P20" s="73"/>
      <c r="Q20" s="73"/>
      <c r="R20" s="88" t="str">
        <f t="array" ref="R20">SUBSTITUTE(
SUBSTITUTE(
SUBSTITUTE(
SUBSTITUTE(
SUBSTITUTE(
SUBSTITUTE(
SUBSTITUTE(
SUBSTITUTE(
SUBSTITUTE(
SUBSTITUTE(
SUBSTITUTE(
XLOOKUP(B20,'المشاريع'!B:B,'المشاريع'!R:R),"صالة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0" s="32">
        <f>COUNTIF('الوحدات'!B:B, B20)</f>
        <v>10</v>
      </c>
      <c r="T20" s="33">
        <f>COUNTIFS('الوحدات'!B:B, B20, 'الوحدات'!M:M, "متاحة")</f>
        <v>0</v>
      </c>
      <c r="U20" s="33">
        <f>COUNTIFS('الوحدات'!B:B, B20, 'الوحدات'!M:M, "تحت الإنشاء")</f>
        <v>10</v>
      </c>
      <c r="V20" s="33">
        <f>COUNTIFS('الوحدات'!B:B, B20, 'الوحدات'!M:M, "محجوزة")</f>
        <v>0</v>
      </c>
      <c r="W20" s="33">
        <f>COUNTIFS('الوحدات'!B:B, B20, 'الوحدات'!M:M, "مباعة")</f>
        <v>0</v>
      </c>
      <c r="X20" s="34">
        <f>IFERROR(AVERAGEIFS('الوحدات'!L:L, 'الوحدات'!B:B, B20), "")</f>
        <v>1609000</v>
      </c>
      <c r="Y20" s="89" t="str">
        <f>IFERROR(
ROUND(
AVERAGEIFS('الوحدات'!L:L, 'الوحدات'!B:B, B20, 'الوحدات'!M:M, "متاحة"),
2
),
""
)
</f>
        <v/>
      </c>
      <c r="Z20" s="34">
        <f>IFERROR(SUMIFS('الوحدات'!L:L, 'الوحدات'!B:B, B20), "")</f>
        <v>16090000</v>
      </c>
      <c r="AA20" s="36">
        <f t="shared" si="5"/>
        <v>0</v>
      </c>
      <c r="AB20" s="34">
        <f>IFERROR(SUMIFS('الوحدات'!L:L, 'الوحدات'!B:B, B20, 'الوحدات'!M:M, "تحت الإنشاء"), "")</f>
        <v>16090000</v>
      </c>
      <c r="AC20" s="34">
        <f>IFERROR(SUMIFS('الوحدات'!L:L, 'الوحدات'!B:B, B20, 'الوحدات'!M:M, "متاحة"), "")</f>
        <v>0</v>
      </c>
      <c r="AD20" s="34">
        <f>IFERROR(SUMIFS('الوحدات'!L:L, 'الوحدات'!B:B, B20, 'الوحدات'!M:M, "محجوزة"), "")</f>
        <v>0</v>
      </c>
      <c r="AE20" s="34">
        <f>IFERROR(SUMIFS('الوحدات'!L:L, 'الوحدات'!B:B, B20, 'الوحدات'!M:M, "مباعة"), "")</f>
        <v>0</v>
      </c>
      <c r="AF20" s="34">
        <f>IFERROR(
ROUND(
VALUE(
SUBSTITUTE(
SUBSTITUTE(
MINIFS('الوحدات'!L:L,'الوحدات'!B:B,B20),
",",""),
"٬","")
),
0
),
""
)
</f>
        <v>1399000</v>
      </c>
      <c r="AG20" s="34">
        <f>IFERROR(MINIFS('الوحدات'!L:L, 'الوحدات'!B:B, B20, 'الوحدات'!M:M, "متاحة"), "")</f>
        <v>0</v>
      </c>
      <c r="AH20" s="34">
        <f>IFERROR(MAXIFS('الوحدات'!L:L, 'الوحدات'!B:B, B20), "")</f>
        <v>1799000</v>
      </c>
      <c r="AI20" s="34">
        <f>IFERROR(MAXIFS('الوحدات'!L:L, 'الوحدات'!B:B, B20, 'الوحدات'!M:M, "متاحة"), "")</f>
        <v>0</v>
      </c>
      <c r="AJ20" s="32" t="str">
        <f t="shared" ref="AJ20:AK20" si="75">AH20&amp;"-"&amp;AF20</f>
        <v>1799000-1399000</v>
      </c>
      <c r="AK20" s="37" t="str">
        <f t="shared" si="75"/>
        <v>0-0</v>
      </c>
      <c r="AL20" s="34">
        <f>IFERROR(MINIFS('الوحدات'!K:K, 'الوحدات'!B:B, B20), "")</f>
        <v>87</v>
      </c>
      <c r="AM20" s="33">
        <f>IFERROR(MINIFS('الوحدات'!K:K, 'الوحدات'!B:B, B20, 'الوحدات'!M:M, "متاحة"), "")</f>
        <v>0</v>
      </c>
      <c r="AN20" s="33">
        <f>IFERROR(MAXIFS('الوحدات'!K:K, 'الوحدات'!B:B, B20), "")</f>
        <v>140</v>
      </c>
      <c r="AO20" s="33">
        <f>IFERROR(MAXIFS('الوحدات'!K:K, 'الوحدات'!B:B, B20, 'الوحدات'!M:M, "متاحة"), "")</f>
        <v>0</v>
      </c>
      <c r="AP20" s="32" t="str">
        <f t="shared" ref="AP20:AQ20" si="76">AN20&amp;"-"&amp;AL20</f>
        <v>140-87</v>
      </c>
      <c r="AQ20" s="32" t="str">
        <f t="shared" si="76"/>
        <v>0-0</v>
      </c>
      <c r="AR20" s="33">
        <f>IFERROR(MINIFS('الوحدات'!N:N, 'الوحدات'!B:B, B20), "")</f>
        <v>2</v>
      </c>
      <c r="AS20" s="33">
        <f>IFERROR(MINIFS('الوحدات'!N:N, 'الوحدات'!B:B, B20, 'الوحدات'!M:M, "متاحة"), "")</f>
        <v>0</v>
      </c>
      <c r="AT20" s="33">
        <f>IFERROR(MAXIFS('الوحدات'!N:N, 'الوحدات'!B:B, B20), "")</f>
        <v>3</v>
      </c>
      <c r="AU20" s="33">
        <f>IFERROR(MAXIFS('الوحدات'!N:N, 'الوحدات'!B:B, B20, 'الوحدات'!M:M, "متاحة"), "")</f>
        <v>0</v>
      </c>
      <c r="AV20" s="14" t="str">
        <f t="shared" ref="AV20:AW20" si="77">AT20&amp;"-"&amp;AR20</f>
        <v>3-2</v>
      </c>
      <c r="AW20" s="14" t="str">
        <f t="shared" si="77"/>
        <v>0-0</v>
      </c>
      <c r="AX20" s="33">
        <f>IFERROR(MINIFS('الوحدات'!O:O, 'الوحدات'!B:B, B20), "")</f>
        <v>2</v>
      </c>
      <c r="AY20" s="38">
        <f>IFERROR(MINIFS('الوحدات'!O:O, 'الوحدات'!B:B, B20, 'الوحدات'!M:M, "متاحة"), "")</f>
        <v>0</v>
      </c>
      <c r="AZ20" s="38">
        <f>IFERROR(MAXIFS('الوحدات'!O:O, 'الوحدات'!B:B, B20), "")</f>
        <v>4</v>
      </c>
      <c r="BA20" s="33">
        <f>IFERROR(MAXIFS('الوحدات'!O:O, 'الوحدات'!B:B, B20, 'الوحدات'!M:M, "متاحة"), "")</f>
        <v>0</v>
      </c>
      <c r="BB20" s="14" t="str">
        <f t="shared" ref="BB20:BC20" si="78">AZ20&amp;"-"&amp;AX20</f>
        <v>4-2</v>
      </c>
      <c r="BC20" s="14" t="str">
        <f t="shared" si="78"/>
        <v>0-0</v>
      </c>
    </row>
    <row r="21">
      <c r="A21" s="65">
        <v>20.0</v>
      </c>
      <c r="B21" s="14" t="s">
        <v>178</v>
      </c>
      <c r="C21" s="70" t="s">
        <v>118</v>
      </c>
      <c r="D21" s="14">
        <v>130.0</v>
      </c>
      <c r="E21" s="69" t="str">
        <f t="shared" si="58"/>
        <v>ألين - 130</v>
      </c>
      <c r="F21" s="26" t="str">
        <f t="array" ref="F21">SWITCH(
XLOOKUP(B21,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1" s="26" t="str">
        <f t="array" ref="G21">SWITCH(
XLOOKUP(B21, 'المشاريع'!B:B, 'المشاريع'!G:G),
"سكني","Residential",
"تجاري","Commercial"
)
</f>
        <v>Residential</v>
      </c>
      <c r="H21" s="26" t="str">
        <f t="array" ref="H21">SUBSTITUTE(
SUBSTITUTE(
SUBSTITUTE(
SUBSTITUTE(
SUBSTITUTE(
XLOOKUP(B21,'المشاريع'!B:B,'المشاريع'!H:H),
"شقة","Apartment"),
"دور","Floor"),
"فيلا","Villa"),
"تاون هاوس","Town House"),
"-",", ")
</f>
        <v>Apartment</v>
      </c>
      <c r="I21" s="74">
        <v>46232.0</v>
      </c>
      <c r="J21" s="71" t="s">
        <v>179</v>
      </c>
      <c r="K21" s="29" t="str">
        <f t="array" ref="K21">SUBSTITUTE(
SUBSTITUTE(
SUBSTITUTE(
SUBSTITUTE(
XLOOKUP(B21, 'المشاريع'!B:B, 'المشاريع'!K:K),
"شمال","North"),
"شرق","East"),
"جنوب","South"),
"غرب","West")
</f>
        <v>North</v>
      </c>
      <c r="L21" s="60" t="s">
        <v>86</v>
      </c>
      <c r="M21" s="60" t="s">
        <v>87</v>
      </c>
      <c r="N21" s="70" t="s">
        <v>180</v>
      </c>
      <c r="O21" s="72" t="s">
        <v>181</v>
      </c>
      <c r="P21" s="73"/>
      <c r="Q21" s="73"/>
      <c r="R21" s="88" t="str">
        <f t="array" ref="R21">SUBSTITUTE(
SUBSTITUTE(
SUBSTITUTE(
SUBSTITUTE(
SUBSTITUTE(
SUBSTITUTE(
SUBSTITUTE(
SUBSTITUTE(
SUBSTITUTE(
SUBSTITUTE(
SUBSTITUTE(
XLOOKUP(B21,'المشاريع'!B:B,'المشاريع'!R:R),"صالة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1" s="32">
        <f>COUNTIF('الوحدات'!B:B, B21)</f>
        <v>30</v>
      </c>
      <c r="T21" s="33">
        <f>COUNTIFS('الوحدات'!B:B, B21, 'الوحدات'!M:M, "متاحة")</f>
        <v>0</v>
      </c>
      <c r="U21" s="33">
        <f>COUNTIFS('الوحدات'!B:B, B21, 'الوحدات'!M:M, "تحت الإنشاء")</f>
        <v>30</v>
      </c>
      <c r="V21" s="33">
        <f>COUNTIFS('الوحدات'!B:B, B21, 'الوحدات'!M:M, "محجوزة")</f>
        <v>0</v>
      </c>
      <c r="W21" s="33">
        <f>COUNTIFS('الوحدات'!B:B, B21, 'الوحدات'!M:M, "مباعة")</f>
        <v>0</v>
      </c>
      <c r="X21" s="34">
        <f>IFERROR(AVERAGEIFS('الوحدات'!L:L, 'الوحدات'!B:B, B21), "")</f>
        <v>2055000</v>
      </c>
      <c r="Y21" s="89" t="str">
        <f>IFERROR(
ROUND(
AVERAGEIFS('الوحدات'!L:L, 'الوحدات'!B:B, B21, 'الوحدات'!M:M, "متاحة"),
2
),
""
)
</f>
        <v/>
      </c>
      <c r="Z21" s="34">
        <f>IFERROR(SUMIFS('الوحدات'!L:L, 'الوحدات'!B:B, B21), "")</f>
        <v>61650000</v>
      </c>
      <c r="AA21" s="36">
        <f t="shared" si="5"/>
        <v>0</v>
      </c>
      <c r="AB21" s="34">
        <f>IFERROR(SUMIFS('الوحدات'!L:L, 'الوحدات'!B:B, B21, 'الوحدات'!M:M, "تحت الإنشاء"), "")</f>
        <v>61650000</v>
      </c>
      <c r="AC21" s="34">
        <f>IFERROR(SUMIFS('الوحدات'!L:L, 'الوحدات'!B:B, B21, 'الوحدات'!M:M, "متاحة"), "")</f>
        <v>0</v>
      </c>
      <c r="AD21" s="34">
        <f>IFERROR(SUMIFS('الوحدات'!L:L, 'الوحدات'!B:B, B21, 'الوحدات'!M:M, "محجوزة"), "")</f>
        <v>0</v>
      </c>
      <c r="AE21" s="34">
        <f>IFERROR(SUMIFS('الوحدات'!L:L, 'الوحدات'!B:B, B21, 'الوحدات'!M:M, "مباعة"), "")</f>
        <v>0</v>
      </c>
      <c r="AF21" s="34">
        <f>IFERROR(
ROUND(
VALUE(
SUBSTITUTE(
SUBSTITUTE(
MINIFS('الوحدات'!L:L,'الوحدات'!B:B,B21),
",",""),
"٬","")
),
0
),
""
)
</f>
        <v>1559000</v>
      </c>
      <c r="AG21" s="34">
        <f>IFERROR(MINIFS('الوحدات'!L:L, 'الوحدات'!B:B, B21, 'الوحدات'!M:M, "متاحة"), "")</f>
        <v>0</v>
      </c>
      <c r="AH21" s="34">
        <f>IFERROR(MAXIFS('الوحدات'!L:L, 'الوحدات'!B:B, B21), "")</f>
        <v>2699000</v>
      </c>
      <c r="AI21" s="34">
        <f>IFERROR(MAXIFS('الوحدات'!L:L, 'الوحدات'!B:B, B21, 'الوحدات'!M:M, "متاحة"), "")</f>
        <v>0</v>
      </c>
      <c r="AJ21" s="32" t="str">
        <f t="shared" ref="AJ21:AK21" si="79">AH21&amp;"-"&amp;AF21</f>
        <v>2699000-1559000</v>
      </c>
      <c r="AK21" s="37" t="str">
        <f t="shared" si="79"/>
        <v>0-0</v>
      </c>
      <c r="AL21" s="34">
        <f>IFERROR(MINIFS('الوحدات'!K:K, 'الوحدات'!B:B, B21), "")</f>
        <v>89</v>
      </c>
      <c r="AM21" s="33">
        <f>IFERROR(MINIFS('الوحدات'!K:K, 'الوحدات'!B:B, B21, 'الوحدات'!M:M, "متاحة"), "")</f>
        <v>0</v>
      </c>
      <c r="AN21" s="33">
        <f>IFERROR(MAXIFS('الوحدات'!K:K, 'الوحدات'!B:B, B21), "")</f>
        <v>170</v>
      </c>
      <c r="AO21" s="33">
        <f>IFERROR(MAXIFS('الوحدات'!K:K, 'الوحدات'!B:B, B21, 'الوحدات'!M:M, "متاحة"), "")</f>
        <v>0</v>
      </c>
      <c r="AP21" s="32" t="str">
        <f t="shared" ref="AP21:AQ21" si="80">AN21&amp;"-"&amp;AL21</f>
        <v>170-89</v>
      </c>
      <c r="AQ21" s="32" t="str">
        <f t="shared" si="80"/>
        <v>0-0</v>
      </c>
      <c r="AR21" s="33">
        <f>IFERROR(MINIFS('الوحدات'!N:N, 'الوحدات'!B:B, B21), "")</f>
        <v>2</v>
      </c>
      <c r="AS21" s="33">
        <f>IFERROR(MINIFS('الوحدات'!N:N, 'الوحدات'!B:B, B21, 'الوحدات'!M:M, "متاحة"), "")</f>
        <v>0</v>
      </c>
      <c r="AT21" s="33">
        <f>IFERROR(MAXIFS('الوحدات'!N:N, 'الوحدات'!B:B, B21), "")</f>
        <v>3</v>
      </c>
      <c r="AU21" s="33">
        <f>IFERROR(MAXIFS('الوحدات'!N:N, 'الوحدات'!B:B, B21, 'الوحدات'!M:M, "متاحة"), "")</f>
        <v>0</v>
      </c>
      <c r="AV21" s="14" t="str">
        <f t="shared" ref="AV21:AW21" si="81">AT21&amp;"-"&amp;AR21</f>
        <v>3-2</v>
      </c>
      <c r="AW21" s="14" t="str">
        <f t="shared" si="81"/>
        <v>0-0</v>
      </c>
      <c r="AX21" s="33">
        <f>IFERROR(MINIFS('الوحدات'!O:O, 'الوحدات'!B:B, B21), "")</f>
        <v>3</v>
      </c>
      <c r="AY21" s="38">
        <f>IFERROR(MINIFS('الوحدات'!O:O, 'الوحدات'!B:B, B21, 'الوحدات'!M:M, "متاحة"), "")</f>
        <v>0</v>
      </c>
      <c r="AZ21" s="38">
        <f>IFERROR(MAXIFS('الوحدات'!O:O, 'الوحدات'!B:B, B21), "")</f>
        <v>4</v>
      </c>
      <c r="BA21" s="33">
        <f>IFERROR(MAXIFS('الوحدات'!O:O, 'الوحدات'!B:B, B21, 'الوحدات'!M:M, "متاحة"), "")</f>
        <v>0</v>
      </c>
      <c r="BB21" s="14" t="str">
        <f t="shared" ref="BB21:BC21" si="82">AZ21&amp;"-"&amp;AX21</f>
        <v>4-3</v>
      </c>
      <c r="BC21" s="14" t="str">
        <f t="shared" si="82"/>
        <v>0-0</v>
      </c>
    </row>
    <row r="22">
      <c r="A22" s="65">
        <v>21.0</v>
      </c>
      <c r="B22" s="14" t="s">
        <v>182</v>
      </c>
      <c r="C22" s="70" t="s">
        <v>118</v>
      </c>
      <c r="D22" s="14">
        <v>138.0</v>
      </c>
      <c r="E22" s="69" t="str">
        <f t="shared" si="58"/>
        <v>ألين - 138</v>
      </c>
      <c r="F22" s="26" t="str">
        <f t="array" ref="F22">SWITCH(
XLOOKUP(B22,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2" s="26" t="str">
        <f t="array" ref="G22">SWITCH(
XLOOKUP(B22, 'المشاريع'!B:B, 'المشاريع'!G:G),
"سكني","Residential",
"تجاري","Commercial"
)
</f>
        <v>Residential</v>
      </c>
      <c r="H22" s="26" t="str">
        <f t="array" ref="H22">SUBSTITUTE(
SUBSTITUTE(
SUBSTITUTE(
SUBSTITUTE(
SUBSTITUTE(
XLOOKUP(B22,'المشاريع'!B:B,'المشاريع'!H:H),
"شقة","Apartment"),
"دور","Floor"),
"فيلا","Villa"),
"تاون هاوس","Town House"),
"-",", ")
</f>
        <v>Apartment</v>
      </c>
      <c r="I22" s="74">
        <v>46232.0</v>
      </c>
      <c r="J22" s="71" t="s">
        <v>183</v>
      </c>
      <c r="K22" s="29" t="str">
        <f t="array" ref="K22">SUBSTITUTE(
SUBSTITUTE(
SUBSTITUTE(
SUBSTITUTE(
XLOOKUP(B22, 'المشاريع'!B:B, 'المشاريع'!K:K),
"شمال","North"),
"شرق","East"),
"جنوب","South"),
"غرب","West")
</f>
        <v>North</v>
      </c>
      <c r="L22" s="60" t="s">
        <v>86</v>
      </c>
      <c r="M22" s="60" t="s">
        <v>87</v>
      </c>
      <c r="N22" s="70" t="s">
        <v>184</v>
      </c>
      <c r="O22" s="72" t="s">
        <v>185</v>
      </c>
      <c r="P22" s="73"/>
      <c r="Q22" s="73"/>
      <c r="R22" s="88" t="str">
        <f t="array" ref="R22">SUBSTITUTE(
SUBSTITUTE(
SUBSTITUTE(
SUBSTITUTE(
SUBSTITUTE(
SUBSTITUTE(
SUBSTITUTE(
SUBSTITUTE(
SUBSTITUTE(
SUBSTITUTE(
SUBSTITUTE(
XLOOKUP(B22,'المشاريع'!B:B,'المشاريع'!R:R),"صالة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2" s="32">
        <f>COUNTIF('الوحدات'!B:B, B22)</f>
        <v>10</v>
      </c>
      <c r="T22" s="33">
        <f>COUNTIFS('الوحدات'!B:B, B22, 'الوحدات'!M:M, "متاحة")</f>
        <v>0</v>
      </c>
      <c r="U22" s="33">
        <f>COUNTIFS('الوحدات'!B:B, B22, 'الوحدات'!M:M, "تحت الإنشاء")</f>
        <v>10</v>
      </c>
      <c r="V22" s="33">
        <f>COUNTIFS('الوحدات'!B:B, B22, 'الوحدات'!M:M, "محجوزة")</f>
        <v>0</v>
      </c>
      <c r="W22" s="33">
        <f>COUNTIFS('الوحدات'!B:B, B22, 'الوحدات'!M:M, "مباعة")</f>
        <v>0</v>
      </c>
      <c r="X22" s="34">
        <f>IFERROR(AVERAGEIFS('الوحدات'!L:L, 'الوحدات'!B:B, B22), "")</f>
        <v>2178000</v>
      </c>
      <c r="Y22" s="89" t="str">
        <f>IFERROR(
ROUND(
AVERAGEIFS('الوحدات'!L:L, 'الوحدات'!B:B, B22, 'الوحدات'!M:M, "متاحة"),
2
),
""
)
</f>
        <v/>
      </c>
      <c r="Z22" s="34">
        <f>IFERROR(SUMIFS('الوحدات'!L:L, 'الوحدات'!B:B, B22), "")</f>
        <v>21780000</v>
      </c>
      <c r="AA22" s="36">
        <f t="shared" si="5"/>
        <v>0</v>
      </c>
      <c r="AB22" s="34">
        <f>IFERROR(SUMIFS('الوحدات'!L:L, 'الوحدات'!B:B, B22, 'الوحدات'!M:M, "تحت الإنشاء"), "")</f>
        <v>21780000</v>
      </c>
      <c r="AC22" s="34">
        <f>IFERROR(SUMIFS('الوحدات'!L:L, 'الوحدات'!B:B, B22, 'الوحدات'!M:M, "متاحة"), "")</f>
        <v>0</v>
      </c>
      <c r="AD22" s="34">
        <f>IFERROR(SUMIFS('الوحدات'!L:L, 'الوحدات'!B:B, B22, 'الوحدات'!M:M, "محجوزة"), "")</f>
        <v>0</v>
      </c>
      <c r="AE22" s="34">
        <f>IFERROR(SUMIFS('الوحدات'!L:L, 'الوحدات'!B:B, B22, 'الوحدات'!M:M, "مباعة"), "")</f>
        <v>0</v>
      </c>
      <c r="AF22" s="34">
        <f>IFERROR(
ROUND(
VALUE(
SUBSTITUTE(
SUBSTITUTE(
MINIFS('الوحدات'!L:L,'الوحدات'!B:B,B22),
",",""),
"٬","")
),
0
),
""
)
</f>
        <v>1919000</v>
      </c>
      <c r="AG22" s="34">
        <f>IFERROR(MINIFS('الوحدات'!L:L, 'الوحدات'!B:B, B22, 'الوحدات'!M:M, "متاحة"), "")</f>
        <v>0</v>
      </c>
      <c r="AH22" s="34">
        <f>IFERROR(MAXIFS('الوحدات'!L:L, 'الوحدات'!B:B, B22), "")</f>
        <v>2349000</v>
      </c>
      <c r="AI22" s="34">
        <f>IFERROR(MAXIFS('الوحدات'!L:L, 'الوحدات'!B:B, B22, 'الوحدات'!M:M, "متاحة"), "")</f>
        <v>0</v>
      </c>
      <c r="AJ22" s="32" t="str">
        <f t="shared" ref="AJ22:AK22" si="83">AH22&amp;"-"&amp;AF22</f>
        <v>2349000-1919000</v>
      </c>
      <c r="AK22" s="37" t="str">
        <f t="shared" si="83"/>
        <v>0-0</v>
      </c>
      <c r="AL22" s="34">
        <f>IFERROR(MINIFS('الوحدات'!K:K, 'الوحدات'!B:B, B22), "")</f>
        <v>91</v>
      </c>
      <c r="AM22" s="33">
        <f>IFERROR(MINIFS('الوحدات'!K:K, 'الوحدات'!B:B, B22, 'الوحدات'!M:M, "متاحة"), "")</f>
        <v>0</v>
      </c>
      <c r="AN22" s="33">
        <f>IFERROR(MAXIFS('الوحدات'!K:K, 'الوحدات'!B:B, B22), "")</f>
        <v>139</v>
      </c>
      <c r="AO22" s="33">
        <f>IFERROR(MAXIFS('الوحدات'!K:K, 'الوحدات'!B:B, B22, 'الوحدات'!M:M, "متاحة"), "")</f>
        <v>0</v>
      </c>
      <c r="AP22" s="32" t="str">
        <f t="shared" ref="AP22:AQ22" si="84">AN22&amp;"-"&amp;AL22</f>
        <v>139-91</v>
      </c>
      <c r="AQ22" s="32" t="str">
        <f t="shared" si="84"/>
        <v>0-0</v>
      </c>
      <c r="AR22" s="33">
        <f>IFERROR(MINIFS('الوحدات'!N:N, 'الوحدات'!B:B, B22), "")</f>
        <v>2</v>
      </c>
      <c r="AS22" s="33">
        <f>IFERROR(MINIFS('الوحدات'!N:N, 'الوحدات'!B:B, B22, 'الوحدات'!M:M, "متاحة"), "")</f>
        <v>0</v>
      </c>
      <c r="AT22" s="33">
        <f>IFERROR(MAXIFS('الوحدات'!N:N, 'الوحدات'!B:B, B22), "")</f>
        <v>3</v>
      </c>
      <c r="AU22" s="33">
        <f>IFERROR(MAXIFS('الوحدات'!N:N, 'الوحدات'!B:B, B22, 'الوحدات'!M:M, "متاحة"), "")</f>
        <v>0</v>
      </c>
      <c r="AV22" s="14" t="str">
        <f t="shared" ref="AV22:AW22" si="85">AT22&amp;"-"&amp;AR22</f>
        <v>3-2</v>
      </c>
      <c r="AW22" s="14" t="str">
        <f t="shared" si="85"/>
        <v>0-0</v>
      </c>
      <c r="AX22" s="33">
        <f>IFERROR(MINIFS('الوحدات'!O:O, 'الوحدات'!B:B, B22), "")</f>
        <v>2</v>
      </c>
      <c r="AY22" s="38">
        <f>IFERROR(MINIFS('الوحدات'!O:O, 'الوحدات'!B:B, B22, 'الوحدات'!M:M, "متاحة"), "")</f>
        <v>0</v>
      </c>
      <c r="AZ22" s="38">
        <f>IFERROR(MAXIFS('الوحدات'!O:O, 'الوحدات'!B:B, B22), "")</f>
        <v>4</v>
      </c>
      <c r="BA22" s="33">
        <f>IFERROR(MAXIFS('الوحدات'!O:O, 'الوحدات'!B:B, B22, 'الوحدات'!M:M, "متاحة"), "")</f>
        <v>0</v>
      </c>
      <c r="BB22" s="14" t="str">
        <f t="shared" ref="BB22:BC22" si="86">AZ22&amp;"-"&amp;AX22</f>
        <v>4-2</v>
      </c>
      <c r="BC22" s="14" t="str">
        <f t="shared" si="86"/>
        <v>0-0</v>
      </c>
    </row>
    <row r="23">
      <c r="A23" s="118">
        <v>22.0</v>
      </c>
      <c r="B23" s="107" t="s">
        <v>186</v>
      </c>
      <c r="C23" s="119" t="s">
        <v>118</v>
      </c>
      <c r="D23" s="107">
        <v>27.0</v>
      </c>
      <c r="E23" s="120" t="str">
        <f t="shared" si="58"/>
        <v>ألين - 27</v>
      </c>
      <c r="F23" s="92" t="str">
        <f t="array" ref="F23">SWITCH(
XLOOKUP(B23,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23" s="92" t="str">
        <f t="array" ref="G23">SWITCH(
XLOOKUP(B23, 'المشاريع'!B:B, 'المشاريع'!G:G),
"سكني","Residential",
"تجاري","Commercial"
)
</f>
        <v>Residential</v>
      </c>
      <c r="H23" s="92" t="str">
        <f t="array" ref="H23">SUBSTITUTE(
SUBSTITUTE(
SUBSTITUTE(
SUBSTITUTE(
SUBSTITUTE(
XLOOKUP(B23,'المشاريع'!B:B,'المشاريع'!H:H),
"شقة","Apartment"),
"دور","Floor"),
"فيلا","Villa"),
"تاون هاوس","Town House"),
"-",", ")
</f>
        <v>Floor</v>
      </c>
      <c r="I23" s="125"/>
      <c r="J23" s="122" t="s">
        <v>187</v>
      </c>
      <c r="K23" s="95" t="str">
        <f t="array" ref="K23">SUBSTITUTE(
SUBSTITUTE(
SUBSTITUTE(
SUBSTITUTE(
XLOOKUP(B23, 'المشاريع'!B:B, 'المشاريع'!K:K),
"شمال","North"),
"شرق","East"),
"جنوب","South"),
"غرب","West")
</f>
        <v>North</v>
      </c>
      <c r="L23" s="117" t="s">
        <v>86</v>
      </c>
      <c r="M23" s="117" t="s">
        <v>87</v>
      </c>
      <c r="N23" s="119" t="s">
        <v>184</v>
      </c>
      <c r="O23" s="123" t="s">
        <v>188</v>
      </c>
      <c r="P23" s="124"/>
      <c r="Q23" s="124"/>
      <c r="R23" s="100" t="str">
        <f t="array" ref="R23">SUBSTITUTE(
SUBSTITUTE(
SUBSTITUTE(
SUBSTITUTE(
SUBSTITUTE(
SUBSTITUTE(
SUBSTITUTE(
SUBSTITUTE(
SUBSTITUTE(
SUBSTITUTE(
SUBSTITUTE(
XLOOKUP(B23,'المشاريع'!B:B,'المشاريع'!R:R),"صالة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3" s="101">
        <f>COUNTIF('الوحدات'!B:B, B23)</f>
        <v>6</v>
      </c>
      <c r="T23" s="102">
        <f>COUNTIFS('الوحدات'!B:B, B23, 'الوحدات'!M:M, "متاحة")</f>
        <v>6</v>
      </c>
      <c r="U23" s="102">
        <f>COUNTIFS('الوحدات'!B:B, B23, 'الوحدات'!M:M, "تحت الإنشاء")</f>
        <v>0</v>
      </c>
      <c r="V23" s="102">
        <f>COUNTIFS('الوحدات'!B:B, B23, 'الوحدات'!M:M, "محجوزة")</f>
        <v>0</v>
      </c>
      <c r="W23" s="102">
        <f>COUNTIFS('الوحدات'!B:B, B23, 'الوحدات'!M:M, "مباعة")</f>
        <v>0</v>
      </c>
      <c r="X23" s="103">
        <f>IFERROR(AVERAGEIFS('الوحدات'!L:L, 'الوحدات'!B:B, B23), "")</f>
        <v>2717333.333</v>
      </c>
      <c r="Y23" s="104">
        <f>IFERROR(
ROUND(
AVERAGEIFS('الوحدات'!L:L, 'الوحدات'!B:B, B23, 'الوحدات'!M:M, "متاحة"),
2
),
""
)
</f>
        <v>2717333.33</v>
      </c>
      <c r="Z23" s="103">
        <f>IFERROR(SUMIFS('الوحدات'!L:L, 'الوحدات'!B:B, B23), "")</f>
        <v>16304000</v>
      </c>
      <c r="AA23" s="105">
        <f t="shared" si="5"/>
        <v>0</v>
      </c>
      <c r="AB23" s="103">
        <f>IFERROR(SUMIFS('الوحدات'!L:L, 'الوحدات'!B:B, B23, 'الوحدات'!M:M, "تحت الإنشاء"), "")</f>
        <v>0</v>
      </c>
      <c r="AC23" s="103">
        <f>IFERROR(SUMIFS('الوحدات'!L:L, 'الوحدات'!B:B, B23, 'الوحدات'!M:M, "متاحة"), "")</f>
        <v>16304000</v>
      </c>
      <c r="AD23" s="103">
        <f>IFERROR(SUMIFS('الوحدات'!L:L, 'الوحدات'!B:B, B23, 'الوحدات'!M:M, "محجوزة"), "")</f>
        <v>0</v>
      </c>
      <c r="AE23" s="103">
        <f>IFERROR(SUMIFS('الوحدات'!L:L, 'الوحدات'!B:B, B23, 'الوحدات'!M:M, "مباعة"), "")</f>
        <v>0</v>
      </c>
      <c r="AF23" s="34">
        <f>IFERROR(
ROUND(
VALUE(
SUBSTITUTE(
SUBSTITUTE(
MINIFS('الوحدات'!L:L,'الوحدات'!B:B,B23),
",",""),
"٬","")
),
0
),
""
)
</f>
        <v>2639000</v>
      </c>
      <c r="AG23" s="103">
        <f>IFERROR(MINIFS('الوحدات'!L:L, 'الوحدات'!B:B, B23, 'الوحدات'!M:M, "متاحة"), "")</f>
        <v>2639000</v>
      </c>
      <c r="AH23" s="103">
        <f>IFERROR(MAXIFS('الوحدات'!L:L, 'الوحدات'!B:B, B23), "")</f>
        <v>2769000</v>
      </c>
      <c r="AI23" s="103">
        <f>IFERROR(MAXIFS('الوحدات'!L:L, 'الوحدات'!B:B, B23, 'الوحدات'!M:M, "متاحة"), "")</f>
        <v>2769000</v>
      </c>
      <c r="AJ23" s="101" t="str">
        <f t="shared" ref="AJ23:AK23" si="87">AH23&amp;"-"&amp;AF23</f>
        <v>2769000-2639000</v>
      </c>
      <c r="AK23" s="106" t="str">
        <f t="shared" si="87"/>
        <v>2769000-2639000</v>
      </c>
      <c r="AL23" s="103">
        <f>IFERROR(MINIFS('الوحدات'!K:K, 'الوحدات'!B:B, B23), "")</f>
        <v>132</v>
      </c>
      <c r="AM23" s="102">
        <f>IFERROR(MINIFS('الوحدات'!K:K, 'الوحدات'!B:B, B23, 'الوحدات'!M:M, "متاحة"), "")</f>
        <v>132</v>
      </c>
      <c r="AN23" s="102">
        <f>IFERROR(MAXIFS('الوحدات'!K:K, 'الوحدات'!B:B, B23), "")</f>
        <v>165</v>
      </c>
      <c r="AO23" s="102">
        <f>IFERROR(MAXIFS('الوحدات'!K:K, 'الوحدات'!B:B, B23, 'الوحدات'!M:M, "متاحة"), "")</f>
        <v>165</v>
      </c>
      <c r="AP23" s="101" t="str">
        <f t="shared" ref="AP23:AQ23" si="88">AN23&amp;"-"&amp;AL23</f>
        <v>165-132</v>
      </c>
      <c r="AQ23" s="101" t="str">
        <f t="shared" si="88"/>
        <v>165-132</v>
      </c>
      <c r="AR23" s="102">
        <f>IFERROR(MINIFS('الوحدات'!N:N, 'الوحدات'!B:B, B23), "")</f>
        <v>3</v>
      </c>
      <c r="AS23" s="102">
        <f>IFERROR(MINIFS('الوحدات'!N:N, 'الوحدات'!B:B, B23, 'الوحدات'!M:M, "متاحة"), "")</f>
        <v>3</v>
      </c>
      <c r="AT23" s="102">
        <f>IFERROR(MAXIFS('الوحدات'!N:N, 'الوحدات'!B:B, B23), "")</f>
        <v>4</v>
      </c>
      <c r="AU23" s="102">
        <f>IFERROR(MAXIFS('الوحدات'!N:N, 'الوحدات'!B:B, B23, 'الوحدات'!M:M, "متاحة"), "")</f>
        <v>4</v>
      </c>
      <c r="AV23" s="107" t="str">
        <f t="shared" ref="AV23:AW23" si="89">AT23&amp;"-"&amp;AR23</f>
        <v>4-3</v>
      </c>
      <c r="AW23" s="107" t="str">
        <f t="shared" si="89"/>
        <v>4-3</v>
      </c>
      <c r="AX23" s="102">
        <f>IFERROR(MINIFS('الوحدات'!O:O, 'الوحدات'!B:B, B23), "")</f>
        <v>4</v>
      </c>
      <c r="AY23" s="108">
        <f>IFERROR(MINIFS('الوحدات'!O:O, 'الوحدات'!B:B, B23, 'الوحدات'!M:M, "متاحة"), "")</f>
        <v>4</v>
      </c>
      <c r="AZ23" s="108">
        <f>IFERROR(MAXIFS('الوحدات'!O:O, 'الوحدات'!B:B, B23), "")</f>
        <v>5</v>
      </c>
      <c r="BA23" s="102">
        <f>IFERROR(MAXIFS('الوحدات'!O:O, 'الوحدات'!B:B, B23, 'الوحدات'!M:M, "متاحة"), "")</f>
        <v>5</v>
      </c>
      <c r="BB23" s="107" t="str">
        <f t="shared" ref="BB23:BC23" si="90">AZ23&amp;"-"&amp;AX23</f>
        <v>5-4</v>
      </c>
      <c r="BC23" s="107" t="str">
        <f t="shared" si="90"/>
        <v>5-4</v>
      </c>
    </row>
    <row r="24">
      <c r="A24" s="65">
        <v>23.0</v>
      </c>
      <c r="B24" s="14" t="s">
        <v>189</v>
      </c>
      <c r="C24" s="70" t="s">
        <v>118</v>
      </c>
      <c r="D24" s="14">
        <v>98.0</v>
      </c>
      <c r="E24" s="69" t="str">
        <f t="shared" si="58"/>
        <v>ألين - 98</v>
      </c>
      <c r="F24" s="26" t="str">
        <f t="array" ref="F24">SWITCH(
XLOOKUP(B24,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4" s="26" t="str">
        <f t="array" ref="G24">SWITCH(
XLOOKUP(B24, 'المشاريع'!B:B, 'المشاريع'!G:G),
"سكني","Residential",
"تجاري","Commercial"
)
</f>
        <v>Residential</v>
      </c>
      <c r="H24" s="26" t="str">
        <f t="array" ref="H24">SUBSTITUTE(
SUBSTITUTE(
SUBSTITUTE(
SUBSTITUTE(
SUBSTITUTE(
XLOOKUP(B24,'المشاريع'!B:B,'المشاريع'!H:H),
"شقة","Apartment"),
"دور","Floor"),
"فيلا","Villa"),
"تاون هاوس","Town House"),
"-",", ")
</f>
        <v>Floor</v>
      </c>
      <c r="I24" s="51"/>
      <c r="J24" s="71" t="s">
        <v>190</v>
      </c>
      <c r="K24" s="29" t="str">
        <f t="array" ref="K24">SUBSTITUTE(
SUBSTITUTE(
SUBSTITUTE(
SUBSTITUTE(
XLOOKUP(B24, 'المشاريع'!B:B, 'المشاريع'!K:K),
"شمال","North"),
"شرق","East"),
"جنوب","South"),
"غرب","West")
</f>
        <v>North</v>
      </c>
      <c r="L24" s="60" t="s">
        <v>86</v>
      </c>
      <c r="M24" s="60" t="s">
        <v>87</v>
      </c>
      <c r="N24" s="70" t="s">
        <v>159</v>
      </c>
      <c r="O24" s="72" t="s">
        <v>191</v>
      </c>
      <c r="P24" s="73"/>
      <c r="Q24" s="73"/>
      <c r="R24" s="88" t="str">
        <f t="array" ref="R24">SUBSTITUTE(
SUBSTITUTE(
SUBSTITUTE(
SUBSTITUTE(
SUBSTITUTE(
SUBSTITUTE(
SUBSTITUTE(
SUBSTITUTE(
SUBSTITUTE(
SUBSTITUTE(
SUBSTITUTE(
XLOOKUP(B24,'المشاريع'!B:B,'المشاريع'!R:R),"صالة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4" s="32">
        <f>COUNTIF('الوحدات'!B:B, B24)</f>
        <v>3</v>
      </c>
      <c r="T24" s="33">
        <f>COUNTIFS('الوحدات'!B:B, B24, 'الوحدات'!M:M, "متاحة")</f>
        <v>0</v>
      </c>
      <c r="U24" s="33">
        <f>COUNTIFS('الوحدات'!B:B, B24, 'الوحدات'!M:M, "تحت الإنشاء")</f>
        <v>3</v>
      </c>
      <c r="V24" s="33">
        <f>COUNTIFS('الوحدات'!B:B, B24, 'الوحدات'!M:M, "محجوزة")</f>
        <v>0</v>
      </c>
      <c r="W24" s="33">
        <f>COUNTIFS('الوحدات'!B:B, B24, 'الوحدات'!M:M, "مباعة")</f>
        <v>0</v>
      </c>
      <c r="X24" s="34">
        <f>IFERROR(AVERAGEIFS('الوحدات'!L:L, 'الوحدات'!B:B, B24), "")</f>
        <v>2632333.333</v>
      </c>
      <c r="Y24" s="89" t="str">
        <f>IFERROR(
ROUND(
AVERAGEIFS('الوحدات'!L:L, 'الوحدات'!B:B, B24, 'الوحدات'!M:M, "متاحة"),
2
),
""
)
</f>
        <v/>
      </c>
      <c r="Z24" s="34">
        <f>IFERROR(SUMIFS('الوحدات'!L:L, 'الوحدات'!B:B, B24), "")</f>
        <v>7897000</v>
      </c>
      <c r="AA24" s="36">
        <f t="shared" si="5"/>
        <v>0</v>
      </c>
      <c r="AB24" s="34">
        <f>IFERROR(SUMIFS('الوحدات'!L:L, 'الوحدات'!B:B, B24, 'الوحدات'!M:M, "تحت الإنشاء"), "")</f>
        <v>7897000</v>
      </c>
      <c r="AC24" s="34">
        <f>IFERROR(SUMIFS('الوحدات'!L:L, 'الوحدات'!B:B, B24, 'الوحدات'!M:M, "متاحة"), "")</f>
        <v>0</v>
      </c>
      <c r="AD24" s="34">
        <f>IFERROR(SUMIFS('الوحدات'!L:L, 'الوحدات'!B:B, B24, 'الوحدات'!M:M, "محجوزة"), "")</f>
        <v>0</v>
      </c>
      <c r="AE24" s="34">
        <f>IFERROR(SUMIFS('الوحدات'!L:L, 'الوحدات'!B:B, B24, 'الوحدات'!M:M, "مباعة"), "")</f>
        <v>0</v>
      </c>
      <c r="AF24" s="34">
        <f>IFERROR(
ROUND(
VALUE(
SUBSTITUTE(
SUBSTITUTE(
MINIFS('الوحدات'!L:L,'الوحدات'!B:B,B24),
",",""),
"٬","")
),
0
),
""
)
</f>
        <v>2499000</v>
      </c>
      <c r="AG24" s="34">
        <f>IFERROR(MINIFS('الوحدات'!L:L, 'الوحدات'!B:B, B24, 'الوحدات'!M:M, "متاحة"), "")</f>
        <v>0</v>
      </c>
      <c r="AH24" s="34">
        <f>IFERROR(MAXIFS('الوحدات'!L:L, 'الوحدات'!B:B, B24), "")</f>
        <v>2699000</v>
      </c>
      <c r="AI24" s="34">
        <f>IFERROR(MAXIFS('الوحدات'!L:L, 'الوحدات'!B:B, B24, 'الوحدات'!M:M, "متاحة"), "")</f>
        <v>0</v>
      </c>
      <c r="AJ24" s="32" t="str">
        <f t="shared" ref="AJ24:AK24" si="91">AH24&amp;"-"&amp;AF24</f>
        <v>2699000-2499000</v>
      </c>
      <c r="AK24" s="37" t="str">
        <f t="shared" si="91"/>
        <v>0-0</v>
      </c>
      <c r="AL24" s="34">
        <f>IFERROR(MINIFS('الوحدات'!K:K, 'الوحدات'!B:B, B24), "")</f>
        <v>237</v>
      </c>
      <c r="AM24" s="33">
        <f>IFERROR(MINIFS('الوحدات'!K:K, 'الوحدات'!B:B, B24, 'الوحدات'!M:M, "متاحة"), "")</f>
        <v>0</v>
      </c>
      <c r="AN24" s="33">
        <f>IFERROR(MAXIFS('الوحدات'!K:K, 'الوحدات'!B:B, B24), "")</f>
        <v>264</v>
      </c>
      <c r="AO24" s="33">
        <f>IFERROR(MAXIFS('الوحدات'!K:K, 'الوحدات'!B:B, B24, 'الوحدات'!M:M, "متاحة"), "")</f>
        <v>0</v>
      </c>
      <c r="AP24" s="32" t="str">
        <f t="shared" ref="AP24:AQ24" si="92">AN24&amp;"-"&amp;AL24</f>
        <v>264-237</v>
      </c>
      <c r="AQ24" s="32" t="str">
        <f t="shared" si="92"/>
        <v>0-0</v>
      </c>
      <c r="AR24" s="33">
        <f>IFERROR(MINIFS('الوحدات'!N:N, 'الوحدات'!B:B, B24), "")</f>
        <v>3</v>
      </c>
      <c r="AS24" s="33">
        <f>IFERROR(MINIFS('الوحدات'!N:N, 'الوحدات'!B:B, B24, 'الوحدات'!M:M, "متاحة"), "")</f>
        <v>0</v>
      </c>
      <c r="AT24" s="33">
        <f>IFERROR(MAXIFS('الوحدات'!N:N, 'الوحدات'!B:B, B24), "")</f>
        <v>3</v>
      </c>
      <c r="AU24" s="33">
        <f>IFERROR(MAXIFS('الوحدات'!N:N, 'الوحدات'!B:B, B24, 'الوحدات'!M:M, "متاحة"), "")</f>
        <v>0</v>
      </c>
      <c r="AV24" s="14" t="str">
        <f t="shared" ref="AV24:AW24" si="93">AT24&amp;"-"&amp;AR24</f>
        <v>3-3</v>
      </c>
      <c r="AW24" s="14" t="str">
        <f t="shared" si="93"/>
        <v>0-0</v>
      </c>
      <c r="AX24" s="33">
        <f>IFERROR(MINIFS('الوحدات'!O:O, 'الوحدات'!B:B, B24), "")</f>
        <v>4</v>
      </c>
      <c r="AY24" s="38">
        <f>IFERROR(MINIFS('الوحدات'!O:O, 'الوحدات'!B:B, B24, 'الوحدات'!M:M, "متاحة"), "")</f>
        <v>0</v>
      </c>
      <c r="AZ24" s="38">
        <f>IFERROR(MAXIFS('الوحدات'!O:O, 'الوحدات'!B:B, B24), "")</f>
        <v>5</v>
      </c>
      <c r="BA24" s="33">
        <f>IFERROR(MAXIFS('الوحدات'!O:O, 'الوحدات'!B:B, B24, 'الوحدات'!M:M, "متاحة"), "")</f>
        <v>0</v>
      </c>
      <c r="BB24" s="14" t="str">
        <f t="shared" ref="BB24:BC24" si="94">AZ24&amp;"-"&amp;AX24</f>
        <v>5-4</v>
      </c>
      <c r="BC24" s="14" t="str">
        <f t="shared" si="94"/>
        <v>0-0</v>
      </c>
    </row>
    <row r="25">
      <c r="A25" s="65">
        <v>24.0</v>
      </c>
      <c r="B25" s="14" t="s">
        <v>192</v>
      </c>
      <c r="C25" s="70" t="s">
        <v>118</v>
      </c>
      <c r="D25" s="14">
        <v>114.0</v>
      </c>
      <c r="E25" s="69" t="str">
        <f t="shared" si="58"/>
        <v>ألين - 114</v>
      </c>
      <c r="F25" s="26" t="str">
        <f t="array" ref="F25">SWITCH(
XLOOKUP(B25,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5" s="26" t="str">
        <f t="array" ref="G25">SWITCH(
XLOOKUP(B25, 'المشاريع'!B:B, 'المشاريع'!G:G),
"سكني","Residential",
"تجاري","Commercial"
)
</f>
        <v>Residential</v>
      </c>
      <c r="H25" s="26" t="str">
        <f t="array" ref="H25">SUBSTITUTE(
SUBSTITUTE(
SUBSTITUTE(
SUBSTITUTE(
SUBSTITUTE(
XLOOKUP(B25,'المشاريع'!B:B,'المشاريع'!H:H),
"شقة","Apartment"),
"دور","Floor"),
"فيلا","Villa"),
"تاون هاوس","Town House"),
"-",", ")
</f>
        <v>Floor</v>
      </c>
      <c r="I25" s="51"/>
      <c r="J25" s="71" t="s">
        <v>193</v>
      </c>
      <c r="K25" s="29" t="str">
        <f t="array" ref="K25">SUBSTITUTE(
SUBSTITUTE(
SUBSTITUTE(
SUBSTITUTE(
XLOOKUP(B25, 'المشاريع'!B:B, 'المشاريع'!K:K),
"شمال","North"),
"شرق","East"),
"جنوب","South"),
"غرب","West")
</f>
        <v>North</v>
      </c>
      <c r="L25" s="60" t="s">
        <v>86</v>
      </c>
      <c r="M25" s="60" t="s">
        <v>87</v>
      </c>
      <c r="N25" s="70" t="s">
        <v>159</v>
      </c>
      <c r="O25" s="72" t="s">
        <v>194</v>
      </c>
      <c r="P25" s="73"/>
      <c r="Q25" s="73"/>
      <c r="R25" s="88" t="str">
        <f t="array" ref="R25">SUBSTITUTE(
SUBSTITUTE(
SUBSTITUTE(
SUBSTITUTE(
SUBSTITUTE(
SUBSTITUTE(
SUBSTITUTE(
SUBSTITUTE(
SUBSTITUTE(
SUBSTITUTE(
SUBSTITUTE(
XLOOKUP(B25,'المشاريع'!B:B,'المشاريع'!R:R),"صالة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5" s="32">
        <f>COUNTIF('الوحدات'!B:B, B25)</f>
        <v>3</v>
      </c>
      <c r="T25" s="33">
        <f>COUNTIFS('الوحدات'!B:B, B25, 'الوحدات'!M:M, "متاحة")</f>
        <v>0</v>
      </c>
      <c r="U25" s="33">
        <f>COUNTIFS('الوحدات'!B:B, B25, 'الوحدات'!M:M, "تحت الإنشاء")</f>
        <v>3</v>
      </c>
      <c r="V25" s="33">
        <f>COUNTIFS('الوحدات'!B:B, B25, 'الوحدات'!M:M, "محجوزة")</f>
        <v>0</v>
      </c>
      <c r="W25" s="33">
        <f>COUNTIFS('الوحدات'!B:B, B25, 'الوحدات'!M:M, "مباعة")</f>
        <v>0</v>
      </c>
      <c r="X25" s="34">
        <f>IFERROR(AVERAGEIFS('الوحدات'!L:L, 'الوحدات'!B:B, B25), "")</f>
        <v>2269000</v>
      </c>
      <c r="Y25" s="89" t="str">
        <f>IFERROR(
ROUND(
AVERAGEIFS('الوحدات'!L:L, 'الوحدات'!B:B, B25, 'الوحدات'!M:M, "متاحة"),
2
),
""
)
</f>
        <v/>
      </c>
      <c r="Z25" s="34">
        <f>IFERROR(SUMIFS('الوحدات'!L:L, 'الوحدات'!B:B, B25), "")</f>
        <v>6807000</v>
      </c>
      <c r="AA25" s="36">
        <f t="shared" si="5"/>
        <v>0</v>
      </c>
      <c r="AB25" s="34">
        <f>IFERROR(SUMIFS('الوحدات'!L:L, 'الوحدات'!B:B, B25, 'الوحدات'!M:M, "تحت الإنشاء"), "")</f>
        <v>6807000</v>
      </c>
      <c r="AC25" s="34">
        <f>IFERROR(SUMIFS('الوحدات'!L:L, 'الوحدات'!B:B, B25, 'الوحدات'!M:M, "متاحة"), "")</f>
        <v>0</v>
      </c>
      <c r="AD25" s="34">
        <f>IFERROR(SUMIFS('الوحدات'!L:L, 'الوحدات'!B:B, B25, 'الوحدات'!M:M, "محجوزة"), "")</f>
        <v>0</v>
      </c>
      <c r="AE25" s="34">
        <f>IFERROR(SUMIFS('الوحدات'!L:L, 'الوحدات'!B:B, B25, 'الوحدات'!M:M, "مباعة"), "")</f>
        <v>0</v>
      </c>
      <c r="AF25" s="34">
        <f>IFERROR(
ROUND(
VALUE(
SUBSTITUTE(
SUBSTITUTE(
MINIFS('الوحدات'!L:L,'الوحدات'!B:B,B25),
",",""),
"٬","")
),
0
),
""
)
</f>
        <v>2259000</v>
      </c>
      <c r="AG25" s="34">
        <f>IFERROR(MINIFS('الوحدات'!L:L, 'الوحدات'!B:B, B25, 'الوحدات'!M:M, "متاحة"), "")</f>
        <v>0</v>
      </c>
      <c r="AH25" s="34">
        <f>IFERROR(MAXIFS('الوحدات'!L:L, 'الوحدات'!B:B, B25), "")</f>
        <v>2289000</v>
      </c>
      <c r="AI25" s="34">
        <f>IFERROR(MAXIFS('الوحدات'!L:L, 'الوحدات'!B:B, B25, 'الوحدات'!M:M, "متاحة"), "")</f>
        <v>0</v>
      </c>
      <c r="AJ25" s="32" t="str">
        <f t="shared" ref="AJ25:AK25" si="95">AH25&amp;"-"&amp;AF25</f>
        <v>2289000-2259000</v>
      </c>
      <c r="AK25" s="37" t="str">
        <f t="shared" si="95"/>
        <v>0-0</v>
      </c>
      <c r="AL25" s="34">
        <f>IFERROR(MINIFS('الوحدات'!K:K, 'الوحدات'!B:B, B25), "")</f>
        <v>177</v>
      </c>
      <c r="AM25" s="33">
        <f>IFERROR(MINIFS('الوحدات'!K:K, 'الوحدات'!B:B, B25, 'الوحدات'!M:M, "متاحة"), "")</f>
        <v>0</v>
      </c>
      <c r="AN25" s="33">
        <f>IFERROR(MAXIFS('الوحدات'!K:K, 'الوحدات'!B:B, B25), "")</f>
        <v>191</v>
      </c>
      <c r="AO25" s="33">
        <f>IFERROR(MAXIFS('الوحدات'!K:K, 'الوحدات'!B:B, B25, 'الوحدات'!M:M, "متاحة"), "")</f>
        <v>0</v>
      </c>
      <c r="AP25" s="32" t="str">
        <f t="shared" ref="AP25:AQ25" si="96">AN25&amp;"-"&amp;AL25</f>
        <v>191-177</v>
      </c>
      <c r="AQ25" s="32" t="str">
        <f t="shared" si="96"/>
        <v>0-0</v>
      </c>
      <c r="AR25" s="33">
        <f>IFERROR(MINIFS('الوحدات'!N:N, 'الوحدات'!B:B, B25), "")</f>
        <v>3</v>
      </c>
      <c r="AS25" s="33">
        <f>IFERROR(MINIFS('الوحدات'!N:N, 'الوحدات'!B:B, B25, 'الوحدات'!M:M, "متاحة"), "")</f>
        <v>0</v>
      </c>
      <c r="AT25" s="33">
        <f>IFERROR(MAXIFS('الوحدات'!N:N, 'الوحدات'!B:B, B25), "")</f>
        <v>3</v>
      </c>
      <c r="AU25" s="33">
        <f>IFERROR(MAXIFS('الوحدات'!N:N, 'الوحدات'!B:B, B25, 'الوحدات'!M:M, "متاحة"), "")</f>
        <v>0</v>
      </c>
      <c r="AV25" s="14" t="str">
        <f t="shared" ref="AV25:AW25" si="97">AT25&amp;"-"&amp;AR25</f>
        <v>3-3</v>
      </c>
      <c r="AW25" s="14" t="str">
        <f t="shared" si="97"/>
        <v>0-0</v>
      </c>
      <c r="AX25" s="33">
        <f>IFERROR(MINIFS('الوحدات'!O:O, 'الوحدات'!B:B, B25), "")</f>
        <v>3</v>
      </c>
      <c r="AY25" s="38">
        <f>IFERROR(MINIFS('الوحدات'!O:O, 'الوحدات'!B:B, B25, 'الوحدات'!M:M, "متاحة"), "")</f>
        <v>0</v>
      </c>
      <c r="AZ25" s="38">
        <f>IFERROR(MAXIFS('الوحدات'!O:O, 'الوحدات'!B:B, B25), "")</f>
        <v>3</v>
      </c>
      <c r="BA25" s="33">
        <f>IFERROR(MAXIFS('الوحدات'!O:O, 'الوحدات'!B:B, B25, 'الوحدات'!M:M, "متاحة"), "")</f>
        <v>0</v>
      </c>
      <c r="BB25" s="14" t="str">
        <f t="shared" ref="BB25:BC25" si="98">AZ25&amp;"-"&amp;AX25</f>
        <v>3-3</v>
      </c>
      <c r="BC25" s="14" t="str">
        <f t="shared" si="98"/>
        <v>0-0</v>
      </c>
    </row>
    <row r="26">
      <c r="A26" s="65">
        <v>25.0</v>
      </c>
      <c r="B26" s="14" t="s">
        <v>195</v>
      </c>
      <c r="C26" s="70" t="s">
        <v>118</v>
      </c>
      <c r="D26" s="14">
        <v>116.0</v>
      </c>
      <c r="E26" s="69" t="str">
        <f t="shared" si="58"/>
        <v>ألين - 116</v>
      </c>
      <c r="F26" s="26" t="str">
        <f t="array" ref="F26">SWITCH(
XLOOKUP(B26,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6" s="26" t="str">
        <f t="array" ref="G26">SWITCH(
XLOOKUP(B26, 'المشاريع'!B:B, 'المشاريع'!G:G),
"سكني","Residential",
"تجاري","Commercial"
)
</f>
        <v>Residential</v>
      </c>
      <c r="H26" s="26" t="str">
        <f t="array" ref="H26">SUBSTITUTE(
SUBSTITUTE(
SUBSTITUTE(
SUBSTITUTE(
SUBSTITUTE(
XLOOKUP(B26,'المشاريع'!B:B,'المشاريع'!H:H),
"شقة","Apartment"),
"دور","Floor"),
"فيلا","Villa"),
"تاون هاوس","Town House"),
"-",", ")
</f>
        <v>Floor</v>
      </c>
      <c r="I26" s="51"/>
      <c r="J26" s="71" t="s">
        <v>196</v>
      </c>
      <c r="K26" s="29" t="str">
        <f t="array" ref="K26">SUBSTITUTE(
SUBSTITUTE(
SUBSTITUTE(
SUBSTITUTE(
XLOOKUP(B26, 'المشاريع'!B:B, 'المشاريع'!K:K),
"شمال","North"),
"شرق","East"),
"جنوب","South"),
"غرب","West")
</f>
        <v>East</v>
      </c>
      <c r="L26" s="60" t="s">
        <v>86</v>
      </c>
      <c r="M26" s="60" t="s">
        <v>87</v>
      </c>
      <c r="N26" s="70" t="s">
        <v>197</v>
      </c>
      <c r="O26" s="72" t="s">
        <v>198</v>
      </c>
      <c r="P26" s="73"/>
      <c r="Q26" s="73"/>
      <c r="R26" s="88" t="str">
        <f t="array" ref="R26">SUBSTITUTE(
SUBSTITUTE(
SUBSTITUTE(
SUBSTITUTE(
SUBSTITUTE(
SUBSTITUTE(
SUBSTITUTE(
SUBSTITUTE(
SUBSTITUTE(
SUBSTITUTE(
SUBSTITUTE(
XLOOKUP(B26,'المشاريع'!B:B,'المشاريع'!R:R),"صالة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6" s="32">
        <f>COUNTIF('الوحدات'!B:B, B26)</f>
        <v>4</v>
      </c>
      <c r="T26" s="33">
        <f>COUNTIFS('الوحدات'!B:B, B26, 'الوحدات'!M:M, "متاحة")</f>
        <v>0</v>
      </c>
      <c r="U26" s="33">
        <f>COUNTIFS('الوحدات'!B:B, B26, 'الوحدات'!M:M, "تحت الإنشاء")</f>
        <v>4</v>
      </c>
      <c r="V26" s="33">
        <f>COUNTIFS('الوحدات'!B:B, B26, 'الوحدات'!M:M, "محجوزة")</f>
        <v>0</v>
      </c>
      <c r="W26" s="33">
        <f>COUNTIFS('الوحدات'!B:B, B26, 'الوحدات'!M:M, "مباعة")</f>
        <v>0</v>
      </c>
      <c r="X26" s="34">
        <f>IFERROR(AVERAGEIFS('الوحدات'!L:L, 'الوحدات'!B:B, B26), "")</f>
        <v>1424000</v>
      </c>
      <c r="Y26" s="89" t="str">
        <f>IFERROR(
ROUND(
AVERAGEIFS('الوحدات'!L:L, 'الوحدات'!B:B, B26, 'الوحدات'!M:M, "متاحة"),
2
),
""
)
</f>
        <v/>
      </c>
      <c r="Z26" s="34">
        <f>IFERROR(SUMIFS('الوحدات'!L:L, 'الوحدات'!B:B, B26), "")</f>
        <v>5696000</v>
      </c>
      <c r="AA26" s="36">
        <f t="shared" si="5"/>
        <v>0</v>
      </c>
      <c r="AB26" s="34">
        <f>IFERROR(SUMIFS('الوحدات'!L:L, 'الوحدات'!B:B, B26, 'الوحدات'!M:M, "تحت الإنشاء"), "")</f>
        <v>5696000</v>
      </c>
      <c r="AC26" s="34">
        <f>IFERROR(SUMIFS('الوحدات'!L:L, 'الوحدات'!B:B, B26, 'الوحدات'!M:M, "متاحة"), "")</f>
        <v>0</v>
      </c>
      <c r="AD26" s="34">
        <f>IFERROR(SUMIFS('الوحدات'!L:L, 'الوحدات'!B:B, B26, 'الوحدات'!M:M, "محجوزة"), "")</f>
        <v>0</v>
      </c>
      <c r="AE26" s="34">
        <f>IFERROR(SUMIFS('الوحدات'!L:L, 'الوحدات'!B:B, B26, 'الوحدات'!M:M, "مباعة"), "")</f>
        <v>0</v>
      </c>
      <c r="AF26" s="34">
        <f>IFERROR(
ROUND(
VALUE(
SUBSTITUTE(
SUBSTITUTE(
MINIFS('الوحدات'!L:L,'الوحدات'!B:B,B26),
",",""),
"٬","")
),
0
),
""
)
</f>
        <v>1349000</v>
      </c>
      <c r="AG26" s="34">
        <f>IFERROR(MINIFS('الوحدات'!L:L, 'الوحدات'!B:B, B26, 'الوحدات'!M:M, "متاحة"), "")</f>
        <v>0</v>
      </c>
      <c r="AH26" s="34">
        <f>IFERROR(MAXIFS('الوحدات'!L:L, 'الوحدات'!B:B, B26), "")</f>
        <v>1499000</v>
      </c>
      <c r="AI26" s="34">
        <f>IFERROR(MAXIFS('الوحدات'!L:L, 'الوحدات'!B:B, B26, 'الوحدات'!M:M, "متاحة"), "")</f>
        <v>0</v>
      </c>
      <c r="AJ26" s="32" t="str">
        <f t="shared" ref="AJ26:AK26" si="99">AH26&amp;"-"&amp;AF26</f>
        <v>1499000-1349000</v>
      </c>
      <c r="AK26" s="37" t="str">
        <f t="shared" si="99"/>
        <v>0-0</v>
      </c>
      <c r="AL26" s="34">
        <f>IFERROR(MINIFS('الوحدات'!K:K, 'الوحدات'!B:B, B26), "")</f>
        <v>170</v>
      </c>
      <c r="AM26" s="33">
        <f>IFERROR(MINIFS('الوحدات'!K:K, 'الوحدات'!B:B, B26, 'الوحدات'!M:M, "متاحة"), "")</f>
        <v>0</v>
      </c>
      <c r="AN26" s="33">
        <f>IFERROR(MAXIFS('الوحدات'!K:K, 'الوحدات'!B:B, B26), "")</f>
        <v>177</v>
      </c>
      <c r="AO26" s="33">
        <f>IFERROR(MAXIFS('الوحدات'!K:K, 'الوحدات'!B:B, B26, 'الوحدات'!M:M, "متاحة"), "")</f>
        <v>0</v>
      </c>
      <c r="AP26" s="32" t="str">
        <f t="shared" ref="AP26:AQ26" si="100">AN26&amp;"-"&amp;AL26</f>
        <v>177-170</v>
      </c>
      <c r="AQ26" s="32" t="str">
        <f t="shared" si="100"/>
        <v>0-0</v>
      </c>
      <c r="AR26" s="33">
        <f>IFERROR(MINIFS('الوحدات'!N:N, 'الوحدات'!B:B, B26), "")</f>
        <v>3</v>
      </c>
      <c r="AS26" s="33">
        <f>IFERROR(MINIFS('الوحدات'!N:N, 'الوحدات'!B:B, B26, 'الوحدات'!M:M, "متاحة"), "")</f>
        <v>0</v>
      </c>
      <c r="AT26" s="33">
        <f>IFERROR(MAXIFS('الوحدات'!N:N, 'الوحدات'!B:B, B26), "")</f>
        <v>3</v>
      </c>
      <c r="AU26" s="33">
        <f>IFERROR(MAXIFS('الوحدات'!N:N, 'الوحدات'!B:B, B26, 'الوحدات'!M:M, "متاحة"), "")</f>
        <v>0</v>
      </c>
      <c r="AV26" s="14" t="str">
        <f t="shared" ref="AV26:AW26" si="101">AT26&amp;"-"&amp;AR26</f>
        <v>3-3</v>
      </c>
      <c r="AW26" s="14" t="str">
        <f t="shared" si="101"/>
        <v>0-0</v>
      </c>
      <c r="AX26" s="33">
        <f>IFERROR(MINIFS('الوحدات'!O:O, 'الوحدات'!B:B, B26), "")</f>
        <v>3</v>
      </c>
      <c r="AY26" s="38">
        <f>IFERROR(MINIFS('الوحدات'!O:O, 'الوحدات'!B:B, B26, 'الوحدات'!M:M, "متاحة"), "")</f>
        <v>0</v>
      </c>
      <c r="AZ26" s="38">
        <f>IFERROR(MAXIFS('الوحدات'!O:O, 'الوحدات'!B:B, B26), "")</f>
        <v>3</v>
      </c>
      <c r="BA26" s="33">
        <f>IFERROR(MAXIFS('الوحدات'!O:O, 'الوحدات'!B:B, B26, 'الوحدات'!M:M, "متاحة"), "")</f>
        <v>0</v>
      </c>
      <c r="BB26" s="14" t="str">
        <f t="shared" ref="BB26:BC26" si="102">AZ26&amp;"-"&amp;AX26</f>
        <v>3-3</v>
      </c>
      <c r="BC26" s="14" t="str">
        <f t="shared" si="102"/>
        <v>0-0</v>
      </c>
    </row>
    <row r="27">
      <c r="A27" s="65">
        <v>26.0</v>
      </c>
      <c r="B27" s="14" t="s">
        <v>199</v>
      </c>
      <c r="C27" s="70" t="s">
        <v>118</v>
      </c>
      <c r="D27" s="14">
        <v>118.0</v>
      </c>
      <c r="E27" s="69" t="str">
        <f t="shared" si="58"/>
        <v>ألين - 118</v>
      </c>
      <c r="F27" s="26" t="str">
        <f t="array" ref="F27">SWITCH(
XLOOKUP(B27,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7" s="26" t="str">
        <f t="array" ref="G27">SWITCH(
XLOOKUP(B27, 'المشاريع'!B:B, 'المشاريع'!G:G),
"سكني","Residential",
"تجاري","Commercial"
)
</f>
        <v>Residential</v>
      </c>
      <c r="H27" s="26" t="str">
        <f t="array" ref="H27">SUBSTITUTE(
SUBSTITUTE(
SUBSTITUTE(
SUBSTITUTE(
SUBSTITUTE(
XLOOKUP(B27,'المشاريع'!B:B,'المشاريع'!H:H),
"شقة","Apartment"),
"دور","Floor"),
"فيلا","Villa"),
"تاون هاوس","Town House"),
"-",", ")
</f>
        <v>Floor</v>
      </c>
      <c r="I27" s="51"/>
      <c r="J27" s="71" t="s">
        <v>196</v>
      </c>
      <c r="K27" s="29" t="str">
        <f t="array" ref="K27">SUBSTITUTE(
SUBSTITUTE(
SUBSTITUTE(
SUBSTITUTE(
XLOOKUP(B27, 'المشاريع'!B:B, 'المشاريع'!K:K),
"شمال","North"),
"شرق","East"),
"جنوب","South"),
"غرب","West")
</f>
        <v>North</v>
      </c>
      <c r="L27" s="60" t="s">
        <v>86</v>
      </c>
      <c r="M27" s="60" t="s">
        <v>87</v>
      </c>
      <c r="N27" s="70" t="s">
        <v>132</v>
      </c>
      <c r="O27" s="72" t="s">
        <v>200</v>
      </c>
      <c r="P27" s="73"/>
      <c r="Q27" s="73"/>
      <c r="R27" s="88" t="str">
        <f t="array" ref="R27">SUBSTITUTE(
SUBSTITUTE(
SUBSTITUTE(
SUBSTITUTE(
SUBSTITUTE(
SUBSTITUTE(
SUBSTITUTE(
SUBSTITUTE(
SUBSTITUTE(
SUBSTITUTE(
SUBSTITUTE(
XLOOKUP(B27,'المشاريع'!B:B,'المشاريع'!R:R),"صالة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7" s="32">
        <f>COUNTIF('الوحدات'!B:B, B27)</f>
        <v>15</v>
      </c>
      <c r="T27" s="33">
        <f>COUNTIFS('الوحدات'!B:B, B27, 'الوحدات'!M:M, "متاحة")</f>
        <v>0</v>
      </c>
      <c r="U27" s="33">
        <f>COUNTIFS('الوحدات'!B:B, B27, 'الوحدات'!M:M, "تحت الإنشاء")</f>
        <v>15</v>
      </c>
      <c r="V27" s="33">
        <f>COUNTIFS('الوحدات'!B:B, B27, 'الوحدات'!M:M, "محجوزة")</f>
        <v>0</v>
      </c>
      <c r="W27" s="33">
        <f>COUNTIFS('الوحدات'!B:B, B27, 'الوحدات'!M:M, "مباعة")</f>
        <v>0</v>
      </c>
      <c r="X27" s="34">
        <f>IFERROR(AVERAGEIFS('الوحدات'!L:L, 'الوحدات'!B:B, B27), "")</f>
        <v>2255666.667</v>
      </c>
      <c r="Y27" s="89" t="str">
        <f>IFERROR(
ROUND(
AVERAGEIFS('الوحدات'!L:L, 'الوحدات'!B:B, B27, 'الوحدات'!M:M, "متاحة"),
2
),
""
)
</f>
        <v/>
      </c>
      <c r="Z27" s="34">
        <f>IFERROR(SUMIFS('الوحدات'!L:L, 'الوحدات'!B:B, B27), "")</f>
        <v>33835000</v>
      </c>
      <c r="AA27" s="36">
        <f t="shared" si="5"/>
        <v>0</v>
      </c>
      <c r="AB27" s="34">
        <f>IFERROR(SUMIFS('الوحدات'!L:L, 'الوحدات'!B:B, B27, 'الوحدات'!M:M, "تحت الإنشاء"), "")</f>
        <v>33835000</v>
      </c>
      <c r="AC27" s="34">
        <f>IFERROR(SUMIFS('الوحدات'!L:L, 'الوحدات'!B:B, B27, 'الوحدات'!M:M, "متاحة"), "")</f>
        <v>0</v>
      </c>
      <c r="AD27" s="34">
        <f>IFERROR(SUMIFS('الوحدات'!L:L, 'الوحدات'!B:B, B27, 'الوحدات'!M:M, "محجوزة"), "")</f>
        <v>0</v>
      </c>
      <c r="AE27" s="34">
        <f>IFERROR(SUMIFS('الوحدات'!L:L, 'الوحدات'!B:B, B27, 'الوحدات'!M:M, "مباعة"), "")</f>
        <v>0</v>
      </c>
      <c r="AF27" s="34">
        <f>IFERROR(
ROUND(
VALUE(
SUBSTITUTE(
SUBSTITUTE(
MINIFS('الوحدات'!L:L,'الوحدات'!B:B,B27),
",",""),
"٬","")
),
0
),
""
)
</f>
        <v>1799000</v>
      </c>
      <c r="AG27" s="34">
        <f>IFERROR(MINIFS('الوحدات'!L:L, 'الوحدات'!B:B, B27, 'الوحدات'!M:M, "متاحة"), "")</f>
        <v>0</v>
      </c>
      <c r="AH27" s="34">
        <f>IFERROR(MAXIFS('الوحدات'!L:L, 'الوحدات'!B:B, B27), "")</f>
        <v>2699000</v>
      </c>
      <c r="AI27" s="34">
        <f>IFERROR(MAXIFS('الوحدات'!L:L, 'الوحدات'!B:B, B27, 'الوحدات'!M:M, "متاحة"), "")</f>
        <v>0</v>
      </c>
      <c r="AJ27" s="32" t="str">
        <f t="shared" ref="AJ27:AK27" si="103">AH27&amp;"-"&amp;AF27</f>
        <v>2699000-1799000</v>
      </c>
      <c r="AK27" s="37" t="str">
        <f t="shared" si="103"/>
        <v>0-0</v>
      </c>
      <c r="AL27" s="34">
        <f>IFERROR(MINIFS('الوحدات'!K:K, 'الوحدات'!B:B, B27), "")</f>
        <v>104</v>
      </c>
      <c r="AM27" s="33">
        <f>IFERROR(MINIFS('الوحدات'!K:K, 'الوحدات'!B:B, B27, 'الوحدات'!M:M, "متاحة"), "")</f>
        <v>0</v>
      </c>
      <c r="AN27" s="33">
        <f>IFERROR(MAXIFS('الوحدات'!K:K, 'الوحدات'!B:B, B27), "")</f>
        <v>177</v>
      </c>
      <c r="AO27" s="33">
        <f>IFERROR(MAXIFS('الوحدات'!K:K, 'الوحدات'!B:B, B27, 'الوحدات'!M:M, "متاحة"), "")</f>
        <v>0</v>
      </c>
      <c r="AP27" s="32" t="str">
        <f t="shared" ref="AP27:AQ27" si="104">AN27&amp;"-"&amp;AL27</f>
        <v>177-104</v>
      </c>
      <c r="AQ27" s="32" t="str">
        <f t="shared" si="104"/>
        <v>0-0</v>
      </c>
      <c r="AR27" s="33">
        <f>IFERROR(MINIFS('الوحدات'!N:N, 'الوحدات'!B:B, B27), "")</f>
        <v>0</v>
      </c>
      <c r="AS27" s="33">
        <f>IFERROR(MINIFS('الوحدات'!N:N, 'الوحدات'!B:B, B27, 'الوحدات'!M:M, "متاحة"), "")</f>
        <v>0</v>
      </c>
      <c r="AT27" s="33">
        <f>IFERROR(MAXIFS('الوحدات'!N:N, 'الوحدات'!B:B, B27), "")</f>
        <v>0</v>
      </c>
      <c r="AU27" s="33">
        <f>IFERROR(MAXIFS('الوحدات'!N:N, 'الوحدات'!B:B, B27, 'الوحدات'!M:M, "متاحة"), "")</f>
        <v>0</v>
      </c>
      <c r="AV27" s="14" t="str">
        <f t="shared" ref="AV27:AW27" si="105">AT27&amp;"-"&amp;AR27</f>
        <v>0-0</v>
      </c>
      <c r="AW27" s="14" t="str">
        <f t="shared" si="105"/>
        <v>0-0</v>
      </c>
      <c r="AX27" s="33">
        <f>IFERROR(MINIFS('الوحدات'!O:O, 'الوحدات'!B:B, B27), "")</f>
        <v>0</v>
      </c>
      <c r="AY27" s="38">
        <f>IFERROR(MINIFS('الوحدات'!O:O, 'الوحدات'!B:B, B27, 'الوحدات'!M:M, "متاحة"), "")</f>
        <v>0</v>
      </c>
      <c r="AZ27" s="38">
        <f>IFERROR(MAXIFS('الوحدات'!O:O, 'الوحدات'!B:B, B27), "")</f>
        <v>0</v>
      </c>
      <c r="BA27" s="33">
        <f>IFERROR(MAXIFS('الوحدات'!O:O, 'الوحدات'!B:B, B27, 'الوحدات'!M:M, "متاحة"), "")</f>
        <v>0</v>
      </c>
      <c r="BB27" s="14" t="str">
        <f t="shared" ref="BB27:BC27" si="106">AZ27&amp;"-"&amp;AX27</f>
        <v>0-0</v>
      </c>
      <c r="BC27" s="14" t="str">
        <f t="shared" si="106"/>
        <v>0-0</v>
      </c>
    </row>
    <row r="28">
      <c r="A28" s="65">
        <v>27.0</v>
      </c>
      <c r="B28" s="14" t="s">
        <v>201</v>
      </c>
      <c r="C28" s="70" t="s">
        <v>118</v>
      </c>
      <c r="D28" s="14">
        <v>124.0</v>
      </c>
      <c r="E28" s="69" t="str">
        <f t="shared" si="58"/>
        <v>ألين - 124</v>
      </c>
      <c r="F28" s="26" t="str">
        <f t="array" ref="F28">SWITCH(
XLOOKUP(B28,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8" s="26" t="str">
        <f t="array" ref="G28">SWITCH(
XLOOKUP(B28, 'المشاريع'!B:B, 'المشاريع'!G:G),
"سكني","Residential",
"تجاري","Commercial"
)
</f>
        <v>Residential</v>
      </c>
      <c r="H28" s="26" t="str">
        <f t="array" ref="H28">SUBSTITUTE(
SUBSTITUTE(
SUBSTITUTE(
SUBSTITUTE(
SUBSTITUTE(
XLOOKUP(B28,'المشاريع'!B:B,'المشاريع'!H:H),
"شقة","Apartment"),
"دور","Floor"),
"فيلا","Villa"),
"تاون هاوس","Town House"),
"-",", ")
</f>
        <v>Floor</v>
      </c>
      <c r="I28" s="51"/>
      <c r="J28" s="71" t="s">
        <v>202</v>
      </c>
      <c r="K28" s="29" t="str">
        <f t="array" ref="K28">SUBSTITUTE(
SUBSTITUTE(
SUBSTITUTE(
SUBSTITUTE(
XLOOKUP(B28, 'المشاريع'!B:B, 'المشاريع'!K:K),
"شمال","North"),
"شرق","East"),
"جنوب","South"),
"غرب","West")
</f>
        <v>North</v>
      </c>
      <c r="L28" s="60" t="s">
        <v>86</v>
      </c>
      <c r="M28" s="60" t="s">
        <v>87</v>
      </c>
      <c r="N28" s="70" t="s">
        <v>203</v>
      </c>
      <c r="O28" s="72" t="s">
        <v>204</v>
      </c>
      <c r="P28" s="73"/>
      <c r="Q28" s="73"/>
      <c r="R28" s="88" t="str">
        <f t="array" ref="R28">SUBSTITUTE(
SUBSTITUTE(
SUBSTITUTE(
SUBSTITUTE(
SUBSTITUTE(
SUBSTITUTE(
SUBSTITUTE(
SUBSTITUTE(
SUBSTITUTE(
SUBSTITUTE(
SUBSTITUTE(
XLOOKUP(B28,'المشاريع'!B:B,'المشاريع'!R:R),"صالة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8" s="32">
        <f>COUNTIF('الوحدات'!B:B, B28)</f>
        <v>4</v>
      </c>
      <c r="T28" s="33">
        <f>COUNTIFS('الوحدات'!B:B, B28, 'الوحدات'!M:M, "متاحة")</f>
        <v>0</v>
      </c>
      <c r="U28" s="33">
        <f>COUNTIFS('الوحدات'!B:B, B28, 'الوحدات'!M:M, "تحت الإنشاء")</f>
        <v>4</v>
      </c>
      <c r="V28" s="33">
        <f>COUNTIFS('الوحدات'!B:B, B28, 'الوحدات'!M:M, "محجوزة")</f>
        <v>0</v>
      </c>
      <c r="W28" s="33">
        <f>COUNTIFS('الوحدات'!B:B, B28, 'الوحدات'!M:M, "مباعة")</f>
        <v>0</v>
      </c>
      <c r="X28" s="34">
        <f>IFERROR(AVERAGEIFS('الوحدات'!L:L, 'الوحدات'!B:B, B28), "")</f>
        <v>1936500</v>
      </c>
      <c r="Y28" s="89" t="str">
        <f>IFERROR(
ROUND(
AVERAGEIFS('الوحدات'!L:L, 'الوحدات'!B:B, B28, 'الوحدات'!M:M, "متاحة"),
2
),
""
)
</f>
        <v/>
      </c>
      <c r="Z28" s="34">
        <f>IFERROR(SUMIFS('الوحدات'!L:L, 'الوحدات'!B:B, B28), "")</f>
        <v>7746000</v>
      </c>
      <c r="AA28" s="36">
        <f t="shared" si="5"/>
        <v>0</v>
      </c>
      <c r="AB28" s="34">
        <f>IFERROR(SUMIFS('الوحدات'!L:L, 'الوحدات'!B:B, B28, 'الوحدات'!M:M, "تحت الإنشاء"), "")</f>
        <v>7746000</v>
      </c>
      <c r="AC28" s="34">
        <f>IFERROR(SUMIFS('الوحدات'!L:L, 'الوحدات'!B:B, B28, 'الوحدات'!M:M, "متاحة"), "")</f>
        <v>0</v>
      </c>
      <c r="AD28" s="34">
        <f>IFERROR(SUMIFS('الوحدات'!L:L, 'الوحدات'!B:B, B28, 'الوحدات'!M:M, "محجوزة"), "")</f>
        <v>0</v>
      </c>
      <c r="AE28" s="34">
        <f>IFERROR(SUMIFS('الوحدات'!L:L, 'الوحدات'!B:B, B28, 'الوحدات'!M:M, "مباعة"), "")</f>
        <v>0</v>
      </c>
      <c r="AF28" s="34">
        <f>IFERROR(
ROUND(
VALUE(
SUBSTITUTE(
SUBSTITUTE(
MINIFS('الوحدات'!L:L,'الوحدات'!B:B,B28),
",",""),
"٬","")
),
0
),
""
)
</f>
        <v>1749000</v>
      </c>
      <c r="AG28" s="34">
        <f>IFERROR(MINIFS('الوحدات'!L:L, 'الوحدات'!B:B, B28, 'الوحدات'!M:M, "متاحة"), "")</f>
        <v>0</v>
      </c>
      <c r="AH28" s="34">
        <f>IFERROR(MAXIFS('الوحدات'!L:L, 'الوحدات'!B:B, B28), "")</f>
        <v>1999000</v>
      </c>
      <c r="AI28" s="34">
        <f>IFERROR(MAXIFS('الوحدات'!L:L, 'الوحدات'!B:B, B28, 'الوحدات'!M:M, "متاحة"), "")</f>
        <v>0</v>
      </c>
      <c r="AJ28" s="32" t="str">
        <f t="shared" ref="AJ28:AK28" si="107">AH28&amp;"-"&amp;AF28</f>
        <v>1999000-1749000</v>
      </c>
      <c r="AK28" s="37" t="str">
        <f t="shared" si="107"/>
        <v>0-0</v>
      </c>
      <c r="AL28" s="34">
        <f>IFERROR(MINIFS('الوحدات'!K:K, 'الوحدات'!B:B, B28), "")</f>
        <v>149</v>
      </c>
      <c r="AM28" s="33">
        <f>IFERROR(MINIFS('الوحدات'!K:K, 'الوحدات'!B:B, B28, 'الوحدات'!M:M, "متاحة"), "")</f>
        <v>0</v>
      </c>
      <c r="AN28" s="33">
        <f>IFERROR(MAXIFS('الوحدات'!K:K, 'الوحدات'!B:B, B28), "")</f>
        <v>162</v>
      </c>
      <c r="AO28" s="33">
        <f>IFERROR(MAXIFS('الوحدات'!K:K, 'الوحدات'!B:B, B28, 'الوحدات'!M:M, "متاحة"), "")</f>
        <v>0</v>
      </c>
      <c r="AP28" s="32" t="str">
        <f t="shared" ref="AP28:AQ28" si="108">AN28&amp;"-"&amp;AL28</f>
        <v>162-149</v>
      </c>
      <c r="AQ28" s="32" t="str">
        <f t="shared" si="108"/>
        <v>0-0</v>
      </c>
      <c r="AR28" s="33">
        <f>IFERROR(MINIFS('الوحدات'!N:N, 'الوحدات'!B:B, B28), "")</f>
        <v>0</v>
      </c>
      <c r="AS28" s="33">
        <f>IFERROR(MINIFS('الوحدات'!N:N, 'الوحدات'!B:B, B28, 'الوحدات'!M:M, "متاحة"), "")</f>
        <v>0</v>
      </c>
      <c r="AT28" s="33">
        <f>IFERROR(MAXIFS('الوحدات'!N:N, 'الوحدات'!B:B, B28), "")</f>
        <v>0</v>
      </c>
      <c r="AU28" s="33">
        <f>IFERROR(MAXIFS('الوحدات'!N:N, 'الوحدات'!B:B, B28, 'الوحدات'!M:M, "متاحة"), "")</f>
        <v>0</v>
      </c>
      <c r="AV28" s="14" t="str">
        <f t="shared" ref="AV28:AW28" si="109">AT28&amp;"-"&amp;AR28</f>
        <v>0-0</v>
      </c>
      <c r="AW28" s="14" t="str">
        <f t="shared" si="109"/>
        <v>0-0</v>
      </c>
      <c r="AX28" s="33">
        <f>IFERROR(MINIFS('الوحدات'!O:O, 'الوحدات'!B:B, B28), "")</f>
        <v>0</v>
      </c>
      <c r="AY28" s="38">
        <f>IFERROR(MINIFS('الوحدات'!O:O, 'الوحدات'!B:B, B28, 'الوحدات'!M:M, "متاحة"), "")</f>
        <v>0</v>
      </c>
      <c r="AZ28" s="38">
        <f>IFERROR(MAXIFS('الوحدات'!O:O, 'الوحدات'!B:B, B28), "")</f>
        <v>0</v>
      </c>
      <c r="BA28" s="33">
        <f>IFERROR(MAXIFS('الوحدات'!O:O, 'الوحدات'!B:B, B28, 'الوحدات'!M:M, "متاحة"), "")</f>
        <v>0</v>
      </c>
      <c r="BB28" s="14" t="str">
        <f t="shared" ref="BB28:BC28" si="110">AZ28&amp;"-"&amp;AX28</f>
        <v>0-0</v>
      </c>
      <c r="BC28" s="14" t="str">
        <f t="shared" si="110"/>
        <v>0-0</v>
      </c>
    </row>
    <row r="29">
      <c r="A29" s="65">
        <v>28.0</v>
      </c>
      <c r="B29" s="14" t="s">
        <v>205</v>
      </c>
      <c r="C29" s="70" t="s">
        <v>118</v>
      </c>
      <c r="D29" s="14">
        <v>128.0</v>
      </c>
      <c r="E29" s="69" t="str">
        <f t="shared" si="58"/>
        <v>ألين - 128</v>
      </c>
      <c r="F29" s="26" t="str">
        <f t="array" ref="F29">SWITCH(
XLOOKUP(B29,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29" s="26" t="str">
        <f t="array" ref="G29">SWITCH(
XLOOKUP(B29, 'المشاريع'!B:B, 'المشاريع'!G:G),
"سكني","Residential",
"تجاري","Commercial"
)
</f>
        <v>Residential</v>
      </c>
      <c r="H29" s="26" t="str">
        <f t="array" ref="H29">SUBSTITUTE(
SUBSTITUTE(
SUBSTITUTE(
SUBSTITUTE(
SUBSTITUTE(
XLOOKUP(B29,'المشاريع'!B:B,'المشاريع'!H:H),
"شقة","Apartment"),
"دور","Floor"),
"فيلا","Villa"),
"تاون هاوس","Town House"),
"-",", ")
</f>
        <v>Floor</v>
      </c>
      <c r="I29" s="51"/>
      <c r="J29" s="71" t="s">
        <v>206</v>
      </c>
      <c r="K29" s="29" t="str">
        <f t="array" ref="K29">SUBSTITUTE(
SUBSTITUTE(
SUBSTITUTE(
SUBSTITUTE(
XLOOKUP(B29, 'المشاريع'!B:B, 'المشاريع'!K:K),
"شمال","North"),
"شرق","East"),
"جنوب","South"),
"غرب","West")
</f>
        <v>East</v>
      </c>
      <c r="L29" s="60" t="s">
        <v>86</v>
      </c>
      <c r="M29" s="60" t="s">
        <v>87</v>
      </c>
      <c r="N29" s="70" t="s">
        <v>207</v>
      </c>
      <c r="O29" s="72" t="s">
        <v>208</v>
      </c>
      <c r="P29" s="73"/>
      <c r="Q29" s="73"/>
      <c r="R29" s="88" t="str">
        <f t="array" ref="R29">SUBSTITUTE(
SUBSTITUTE(
SUBSTITUTE(
SUBSTITUTE(
SUBSTITUTE(
SUBSTITUTE(
SUBSTITUTE(
SUBSTITUTE(
SUBSTITUTE(
SUBSTITUTE(
SUBSTITUTE(
XLOOKUP(B29,'المشاريع'!B:B,'المشاريع'!R:R),"صالة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29" s="32">
        <f>COUNTIF('الوحدات'!B:B, B29)</f>
        <v>6</v>
      </c>
      <c r="T29" s="33">
        <f>COUNTIFS('الوحدات'!B:B, B29, 'الوحدات'!M:M, "متاحة")</f>
        <v>0</v>
      </c>
      <c r="U29" s="33">
        <f>COUNTIFS('الوحدات'!B:B, B29, 'الوحدات'!M:M, "تحت الإنشاء")</f>
        <v>6</v>
      </c>
      <c r="V29" s="33">
        <f>COUNTIFS('الوحدات'!B:B, B29, 'الوحدات'!M:M, "محجوزة")</f>
        <v>0</v>
      </c>
      <c r="W29" s="33">
        <f>COUNTIFS('الوحدات'!B:B, B29, 'الوحدات'!M:M, "مباعة")</f>
        <v>0</v>
      </c>
      <c r="X29" s="34">
        <f>IFERROR(AVERAGEIFS('الوحدات'!L:L, 'الوحدات'!B:B, B29), "")</f>
        <v>1399000</v>
      </c>
      <c r="Y29" s="89" t="str">
        <f>IFERROR(
ROUND(
AVERAGEIFS('الوحدات'!L:L, 'الوحدات'!B:B, B29, 'الوحدات'!M:M, "متاحة"),
2
),
""
)
</f>
        <v/>
      </c>
      <c r="Z29" s="34">
        <f>IFERROR(SUMIFS('الوحدات'!L:L, 'الوحدات'!B:B, B29), "")</f>
        <v>8394000</v>
      </c>
      <c r="AA29" s="36">
        <f t="shared" si="5"/>
        <v>0</v>
      </c>
      <c r="AB29" s="34">
        <f>IFERROR(SUMIFS('الوحدات'!L:L, 'الوحدات'!B:B, B29, 'الوحدات'!M:M, "تحت الإنشاء"), "")</f>
        <v>8394000</v>
      </c>
      <c r="AC29" s="34">
        <f>IFERROR(SUMIFS('الوحدات'!L:L, 'الوحدات'!B:B, B29, 'الوحدات'!M:M, "متاحة"), "")</f>
        <v>0</v>
      </c>
      <c r="AD29" s="34">
        <f>IFERROR(SUMIFS('الوحدات'!L:L, 'الوحدات'!B:B, B29, 'الوحدات'!M:M, "محجوزة"), "")</f>
        <v>0</v>
      </c>
      <c r="AE29" s="34">
        <f>IFERROR(SUMIFS('الوحدات'!L:L, 'الوحدات'!B:B, B29, 'الوحدات'!M:M, "مباعة"), "")</f>
        <v>0</v>
      </c>
      <c r="AF29" s="34">
        <f>IFERROR(
ROUND(
VALUE(
SUBSTITUTE(
SUBSTITUTE(
MINIFS('الوحدات'!L:L,'الوحدات'!B:B,B29),
",",""),
"٬","")
),
0
),
""
)
</f>
        <v>999000</v>
      </c>
      <c r="AG29" s="34">
        <f>IFERROR(MINIFS('الوحدات'!L:L, 'الوحدات'!B:B, B29, 'الوحدات'!M:M, "متاحة"), "")</f>
        <v>0</v>
      </c>
      <c r="AH29" s="34">
        <f>IFERROR(MAXIFS('الوحدات'!L:L, 'الوحدات'!B:B, B29), "")</f>
        <v>1699000</v>
      </c>
      <c r="AI29" s="34">
        <f>IFERROR(MAXIFS('الوحدات'!L:L, 'الوحدات'!B:B, B29, 'الوحدات'!M:M, "متاحة"), "")</f>
        <v>0</v>
      </c>
      <c r="AJ29" s="32" t="str">
        <f t="shared" ref="AJ29:AK29" si="111">AH29&amp;"-"&amp;AF29</f>
        <v>1699000-999000</v>
      </c>
      <c r="AK29" s="37" t="str">
        <f t="shared" si="111"/>
        <v>0-0</v>
      </c>
      <c r="AL29" s="34">
        <f>IFERROR(MINIFS('الوحدات'!K:K, 'الوحدات'!B:B, B29), "")</f>
        <v>77</v>
      </c>
      <c r="AM29" s="33">
        <f>IFERROR(MINIFS('الوحدات'!K:K, 'الوحدات'!B:B, B29, 'الوحدات'!M:M, "متاحة"), "")</f>
        <v>0</v>
      </c>
      <c r="AN29" s="33">
        <f>IFERROR(MAXIFS('الوحدات'!K:K, 'الوحدات'!B:B, B29), "")</f>
        <v>166</v>
      </c>
      <c r="AO29" s="33">
        <f>IFERROR(MAXIFS('الوحدات'!K:K, 'الوحدات'!B:B, B29, 'الوحدات'!M:M, "متاحة"), "")</f>
        <v>0</v>
      </c>
      <c r="AP29" s="32" t="str">
        <f t="shared" ref="AP29:AQ29" si="112">AN29&amp;"-"&amp;AL29</f>
        <v>166-77</v>
      </c>
      <c r="AQ29" s="32" t="str">
        <f t="shared" si="112"/>
        <v>0-0</v>
      </c>
      <c r="AR29" s="33">
        <f>IFERROR(MINIFS('الوحدات'!N:N, 'الوحدات'!B:B, B29), "")</f>
        <v>3</v>
      </c>
      <c r="AS29" s="33">
        <f>IFERROR(MINIFS('الوحدات'!N:N, 'الوحدات'!B:B, B29, 'الوحدات'!M:M, "متاحة"), "")</f>
        <v>0</v>
      </c>
      <c r="AT29" s="33">
        <f>IFERROR(MAXIFS('الوحدات'!N:N, 'الوحدات'!B:B, B29), "")</f>
        <v>3</v>
      </c>
      <c r="AU29" s="33">
        <f>IFERROR(MAXIFS('الوحدات'!N:N, 'الوحدات'!B:B, B29, 'الوحدات'!M:M, "متاحة"), "")</f>
        <v>0</v>
      </c>
      <c r="AV29" s="14" t="str">
        <f t="shared" ref="AV29:AW29" si="113">AT29&amp;"-"&amp;AR29</f>
        <v>3-3</v>
      </c>
      <c r="AW29" s="14" t="str">
        <f t="shared" si="113"/>
        <v>0-0</v>
      </c>
      <c r="AX29" s="33">
        <f>IFERROR(MINIFS('الوحدات'!O:O, 'الوحدات'!B:B, B29), "")</f>
        <v>3</v>
      </c>
      <c r="AY29" s="38">
        <f>IFERROR(MINIFS('الوحدات'!O:O, 'الوحدات'!B:B, B29, 'الوحدات'!M:M, "متاحة"), "")</f>
        <v>0</v>
      </c>
      <c r="AZ29" s="38">
        <f>IFERROR(MAXIFS('الوحدات'!O:O, 'الوحدات'!B:B, B29), "")</f>
        <v>3</v>
      </c>
      <c r="BA29" s="33">
        <f>IFERROR(MAXIFS('الوحدات'!O:O, 'الوحدات'!B:B, B29, 'الوحدات'!M:M, "متاحة"), "")</f>
        <v>0</v>
      </c>
      <c r="BB29" s="14" t="str">
        <f t="shared" ref="BB29:BC29" si="114">AZ29&amp;"-"&amp;AX29</f>
        <v>3-3</v>
      </c>
      <c r="BC29" s="14" t="str">
        <f t="shared" si="114"/>
        <v>0-0</v>
      </c>
    </row>
    <row r="30">
      <c r="A30" s="65">
        <v>29.0</v>
      </c>
      <c r="B30" s="14" t="s">
        <v>209</v>
      </c>
      <c r="C30" s="70" t="s">
        <v>118</v>
      </c>
      <c r="D30" s="14">
        <v>132.0</v>
      </c>
      <c r="E30" s="69" t="str">
        <f t="shared" si="58"/>
        <v>ألين - 132</v>
      </c>
      <c r="F30" s="26" t="str">
        <f t="array" ref="F30">SWITCH(
XLOOKUP(B30,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30" s="26" t="str">
        <f t="array" ref="G30">SWITCH(
XLOOKUP(B30, 'المشاريع'!B:B, 'المشاريع'!G:G),
"سكني","Residential",
"تجاري","Commercial"
)
</f>
        <v>Residential</v>
      </c>
      <c r="H30" s="26" t="str">
        <f t="array" ref="H30">SUBSTITUTE(
SUBSTITUTE(
SUBSTITUTE(
SUBSTITUTE(
SUBSTITUTE(
XLOOKUP(B30,'المشاريع'!B:B,'المشاريع'!H:H),
"شقة","Apartment"),
"دور","Floor"),
"فيلا","Villa"),
"تاون هاوس","Town House"),
"-",", ")
</f>
        <v>Floor</v>
      </c>
      <c r="I30" s="51"/>
      <c r="J30" s="71" t="s">
        <v>210</v>
      </c>
      <c r="K30" s="29" t="str">
        <f t="array" ref="K30">SUBSTITUTE(
SUBSTITUTE(
SUBSTITUTE(
SUBSTITUTE(
XLOOKUP(B30, 'المشاريع'!B:B, 'المشاريع'!K:K),
"شمال","North"),
"شرق","East"),
"جنوب","South"),
"غرب","West")
</f>
        <v>North</v>
      </c>
      <c r="L30" s="60" t="s">
        <v>86</v>
      </c>
      <c r="M30" s="60" t="s">
        <v>87</v>
      </c>
      <c r="N30" s="70" t="s">
        <v>180</v>
      </c>
      <c r="O30" s="72" t="s">
        <v>211</v>
      </c>
      <c r="P30" s="73"/>
      <c r="Q30" s="73"/>
      <c r="R30" s="88" t="str">
        <f t="array" ref="R30">SUBSTITUTE(
SUBSTITUTE(
SUBSTITUTE(
SUBSTITUTE(
SUBSTITUTE(
SUBSTITUTE(
SUBSTITUTE(
SUBSTITUTE(
SUBSTITUTE(
SUBSTITUTE(
SUBSTITUTE(
XLOOKUP(B30,'المشاريع'!B:B,'المشاريع'!R:R),"صالة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30" s="32">
        <f>COUNTIF('الوحدات'!B:B, B30)</f>
        <v>15</v>
      </c>
      <c r="T30" s="33">
        <f>COUNTIFS('الوحدات'!B:B, B30, 'الوحدات'!M:M, "متاحة")</f>
        <v>0</v>
      </c>
      <c r="U30" s="33">
        <f>COUNTIFS('الوحدات'!B:B, B30, 'الوحدات'!M:M, "تحت الإنشاء")</f>
        <v>15</v>
      </c>
      <c r="V30" s="33">
        <f>COUNTIFS('الوحدات'!B:B, B30, 'الوحدات'!M:M, "محجوزة")</f>
        <v>0</v>
      </c>
      <c r="W30" s="33">
        <f>COUNTIFS('الوحدات'!B:B, B30, 'الوحدات'!M:M, "مباعة")</f>
        <v>0</v>
      </c>
      <c r="X30" s="34">
        <f>IFERROR(AVERAGEIFS('الوحدات'!L:L, 'الوحدات'!B:B, B30), "")</f>
        <v>2465666.667</v>
      </c>
      <c r="Y30" s="89" t="str">
        <f>IFERROR(
ROUND(
AVERAGEIFS('الوحدات'!L:L, 'الوحدات'!B:B, B30, 'الوحدات'!M:M, "متاحة"),
2
),
""
)
</f>
        <v/>
      </c>
      <c r="Z30" s="34">
        <f>IFERROR(SUMIFS('الوحدات'!L:L, 'الوحدات'!B:B, B30), "")</f>
        <v>36985000</v>
      </c>
      <c r="AA30" s="36">
        <f t="shared" si="5"/>
        <v>0</v>
      </c>
      <c r="AB30" s="34">
        <f>IFERROR(SUMIFS('الوحدات'!L:L, 'الوحدات'!B:B, B30, 'الوحدات'!M:M, "تحت الإنشاء"), "")</f>
        <v>36985000</v>
      </c>
      <c r="AC30" s="34">
        <f>IFERROR(SUMIFS('الوحدات'!L:L, 'الوحدات'!B:B, B30, 'الوحدات'!M:M, "متاحة"), "")</f>
        <v>0</v>
      </c>
      <c r="AD30" s="34">
        <f>IFERROR(SUMIFS('الوحدات'!L:L, 'الوحدات'!B:B, B30, 'الوحدات'!M:M, "محجوزة"), "")</f>
        <v>0</v>
      </c>
      <c r="AE30" s="34">
        <f>IFERROR(SUMIFS('الوحدات'!L:L, 'الوحدات'!B:B, B30, 'الوحدات'!M:M, "مباعة"), "")</f>
        <v>0</v>
      </c>
      <c r="AF30" s="34">
        <f>IFERROR(
ROUND(
VALUE(
SUBSTITUTE(
SUBSTITUTE(
MINIFS('الوحدات'!L:L,'الوحدات'!B:B,B30),
",",""),
"٬","")
),
0
),
""
)
</f>
        <v>1999000</v>
      </c>
      <c r="AG30" s="34">
        <f>IFERROR(MINIFS('الوحدات'!L:L, 'الوحدات'!B:B, B30, 'الوحدات'!M:M, "متاحة"), "")</f>
        <v>0</v>
      </c>
      <c r="AH30" s="34">
        <f>IFERROR(MAXIFS('الوحدات'!L:L, 'الوحدات'!B:B, B30), "")</f>
        <v>2899000</v>
      </c>
      <c r="AI30" s="34">
        <f>IFERROR(MAXIFS('الوحدات'!L:L, 'الوحدات'!B:B, B30, 'الوحدات'!M:M, "متاحة"), "")</f>
        <v>0</v>
      </c>
      <c r="AJ30" s="32" t="str">
        <f t="shared" ref="AJ30:AK30" si="115">AH30&amp;"-"&amp;AF30</f>
        <v>2899000-1999000</v>
      </c>
      <c r="AK30" s="37" t="str">
        <f t="shared" si="115"/>
        <v>0-0</v>
      </c>
      <c r="AL30" s="34">
        <f>IFERROR(MINIFS('الوحدات'!K:K, 'الوحدات'!B:B, B30), "")</f>
        <v>73</v>
      </c>
      <c r="AM30" s="33">
        <f>IFERROR(MINIFS('الوحدات'!K:K, 'الوحدات'!B:B, B30, 'الوحدات'!M:M, "متاحة"), "")</f>
        <v>0</v>
      </c>
      <c r="AN30" s="33">
        <f>IFERROR(MAXIFS('الوحدات'!K:K, 'الوحدات'!B:B, B30), "")</f>
        <v>165</v>
      </c>
      <c r="AO30" s="33">
        <f>IFERROR(MAXIFS('الوحدات'!K:K, 'الوحدات'!B:B, B30, 'الوحدات'!M:M, "متاحة"), "")</f>
        <v>0</v>
      </c>
      <c r="AP30" s="32" t="str">
        <f t="shared" ref="AP30:AQ30" si="116">AN30&amp;"-"&amp;AL30</f>
        <v>165-73</v>
      </c>
      <c r="AQ30" s="32" t="str">
        <f t="shared" si="116"/>
        <v>0-0</v>
      </c>
      <c r="AR30" s="33">
        <f>IFERROR(MINIFS('الوحدات'!N:N, 'الوحدات'!B:B, B30), "")</f>
        <v>0</v>
      </c>
      <c r="AS30" s="33">
        <f>IFERROR(MINIFS('الوحدات'!N:N, 'الوحدات'!B:B, B30, 'الوحدات'!M:M, "متاحة"), "")</f>
        <v>0</v>
      </c>
      <c r="AT30" s="33">
        <f>IFERROR(MAXIFS('الوحدات'!N:N, 'الوحدات'!B:B, B30), "")</f>
        <v>0</v>
      </c>
      <c r="AU30" s="33">
        <f>IFERROR(MAXIFS('الوحدات'!N:N, 'الوحدات'!B:B, B30, 'الوحدات'!M:M, "متاحة"), "")</f>
        <v>0</v>
      </c>
      <c r="AV30" s="14" t="str">
        <f t="shared" ref="AV30:AW30" si="117">AT30&amp;"-"&amp;AR30</f>
        <v>0-0</v>
      </c>
      <c r="AW30" s="14" t="str">
        <f t="shared" si="117"/>
        <v>0-0</v>
      </c>
      <c r="AX30" s="33">
        <f>IFERROR(MINIFS('الوحدات'!O:O, 'الوحدات'!B:B, B30), "")</f>
        <v>0</v>
      </c>
      <c r="AY30" s="38">
        <f>IFERROR(MINIFS('الوحدات'!O:O, 'الوحدات'!B:B, B30, 'الوحدات'!M:M, "متاحة"), "")</f>
        <v>0</v>
      </c>
      <c r="AZ30" s="38">
        <f>IFERROR(MAXIFS('الوحدات'!O:O, 'الوحدات'!B:B, B30), "")</f>
        <v>0</v>
      </c>
      <c r="BA30" s="33">
        <f>IFERROR(MAXIFS('الوحدات'!O:O, 'الوحدات'!B:B, B30, 'الوحدات'!M:M, "متاحة"), "")</f>
        <v>0</v>
      </c>
      <c r="BB30" s="14" t="str">
        <f t="shared" ref="BB30:BC30" si="118">AZ30&amp;"-"&amp;AX30</f>
        <v>0-0</v>
      </c>
      <c r="BC30" s="14" t="str">
        <f t="shared" si="118"/>
        <v>0-0</v>
      </c>
    </row>
    <row r="31">
      <c r="A31" s="65">
        <v>30.0</v>
      </c>
      <c r="B31" s="14" t="s">
        <v>212</v>
      </c>
      <c r="C31" s="70" t="s">
        <v>118</v>
      </c>
      <c r="D31" s="14">
        <v>136.0</v>
      </c>
      <c r="E31" s="69" t="str">
        <f t="shared" si="58"/>
        <v>ألين - 136</v>
      </c>
      <c r="F31" s="26" t="str">
        <f t="array" ref="F31">SWITCH(
XLOOKUP(B31,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31" s="26" t="str">
        <f t="array" ref="G31">SWITCH(
XLOOKUP(B31, 'المشاريع'!B:B, 'المشاريع'!G:G),
"سكني","Residential",
"تجاري","Commercial"
)
</f>
        <v>Residential</v>
      </c>
      <c r="H31" s="26" t="str">
        <f t="array" ref="H31">SUBSTITUTE(
SUBSTITUTE(
SUBSTITUTE(
SUBSTITUTE(
SUBSTITUTE(
XLOOKUP(B31,'المشاريع'!B:B,'المشاريع'!H:H),
"شقة","Apartment"),
"دور","Floor"),
"فيلا","Villa"),
"تاون هاوس","Town House"),
"-",", ")
</f>
        <v>Floor</v>
      </c>
      <c r="I31" s="51"/>
      <c r="J31" s="71" t="s">
        <v>213</v>
      </c>
      <c r="K31" s="29" t="str">
        <f t="array" ref="K31">SUBSTITUTE(
SUBSTITUTE(
SUBSTITUTE(
SUBSTITUTE(
XLOOKUP(B31, 'المشاريع'!B:B, 'المشاريع'!K:K),
"شمال","North"),
"شرق","East"),
"جنوب","South"),
"غرب","West")
</f>
        <v>East</v>
      </c>
      <c r="L31" s="60" t="s">
        <v>86</v>
      </c>
      <c r="M31" s="60" t="s">
        <v>87</v>
      </c>
      <c r="N31" s="70" t="s">
        <v>214</v>
      </c>
      <c r="O31" s="72" t="s">
        <v>215</v>
      </c>
      <c r="P31" s="73"/>
      <c r="Q31" s="73"/>
      <c r="R31" s="88" t="str">
        <f t="array" ref="R31">SUBSTITUTE(
SUBSTITUTE(
SUBSTITUTE(
SUBSTITUTE(
SUBSTITUTE(
SUBSTITUTE(
SUBSTITUTE(
SUBSTITUTE(
SUBSTITUTE(
SUBSTITUTE(
SUBSTITUTE(
XLOOKUP(B31,'المشاريع'!B:B,'المشاريع'!R:R),"صالة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31" s="32">
        <f>COUNTIF('الوحدات'!B:B, B31)</f>
        <v>12</v>
      </c>
      <c r="T31" s="33">
        <f>COUNTIFS('الوحدات'!B:B, B31, 'الوحدات'!M:M, "متاحة")</f>
        <v>0</v>
      </c>
      <c r="U31" s="33">
        <f>COUNTIFS('الوحدات'!B:B, B31, 'الوحدات'!M:M, "تحت الإنشاء")</f>
        <v>12</v>
      </c>
      <c r="V31" s="33">
        <f>COUNTIFS('الوحدات'!B:B, B31, 'الوحدات'!M:M, "محجوزة")</f>
        <v>0</v>
      </c>
      <c r="W31" s="33">
        <f>COUNTIFS('الوحدات'!B:B, B31, 'الوحدات'!M:M, "مباعة")</f>
        <v>0</v>
      </c>
      <c r="X31" s="34">
        <f>IFERROR(AVERAGEIFS('الوحدات'!L:L, 'الوحدات'!B:B, B31), "")</f>
        <v>1399000</v>
      </c>
      <c r="Y31" s="89" t="str">
        <f>IFERROR(
ROUND(
AVERAGEIFS('الوحدات'!L:L, 'الوحدات'!B:B, B31, 'الوحدات'!M:M, "متاحة"),
2
),
""
)
</f>
        <v/>
      </c>
      <c r="Z31" s="34">
        <f>IFERROR(SUMIFS('الوحدات'!L:L, 'الوحدات'!B:B, B31), "")</f>
        <v>16788000</v>
      </c>
      <c r="AA31" s="36">
        <f t="shared" si="5"/>
        <v>0</v>
      </c>
      <c r="AB31" s="34">
        <f>IFERROR(SUMIFS('الوحدات'!L:L, 'الوحدات'!B:B, B31, 'الوحدات'!M:M, "تحت الإنشاء"), "")</f>
        <v>16788000</v>
      </c>
      <c r="AC31" s="34">
        <f>IFERROR(SUMIFS('الوحدات'!L:L, 'الوحدات'!B:B, B31, 'الوحدات'!M:M, "متاحة"), "")</f>
        <v>0</v>
      </c>
      <c r="AD31" s="34">
        <f>IFERROR(SUMIFS('الوحدات'!L:L, 'الوحدات'!B:B, B31, 'الوحدات'!M:M, "محجوزة"), "")</f>
        <v>0</v>
      </c>
      <c r="AE31" s="34">
        <f>IFERROR(SUMIFS('الوحدات'!L:L, 'الوحدات'!B:B, B31, 'الوحدات'!M:M, "مباعة"), "")</f>
        <v>0</v>
      </c>
      <c r="AF31" s="34">
        <f>IFERROR(
ROUND(
VALUE(
SUBSTITUTE(
SUBSTITUTE(
MINIFS('الوحدات'!L:L,'الوحدات'!B:B,B31),
",",""),
"٬","")
),
0
),
""
)
</f>
        <v>999000</v>
      </c>
      <c r="AG31" s="34">
        <f>IFERROR(MINIFS('الوحدات'!L:L, 'الوحدات'!B:B, B31, 'الوحدات'!M:M, "متاحة"), "")</f>
        <v>0</v>
      </c>
      <c r="AH31" s="34">
        <f>IFERROR(MAXIFS('الوحدات'!L:L, 'الوحدات'!B:B, B31), "")</f>
        <v>1699000</v>
      </c>
      <c r="AI31" s="34">
        <f>IFERROR(MAXIFS('الوحدات'!L:L, 'الوحدات'!B:B, B31, 'الوحدات'!M:M, "متاحة"), "")</f>
        <v>0</v>
      </c>
      <c r="AJ31" s="32" t="str">
        <f t="shared" ref="AJ31:AK31" si="119">AH31&amp;"-"&amp;AF31</f>
        <v>1699000-999000</v>
      </c>
      <c r="AK31" s="37" t="str">
        <f t="shared" si="119"/>
        <v>0-0</v>
      </c>
      <c r="AL31" s="34">
        <f>IFERROR(MINIFS('الوحدات'!K:K, 'الوحدات'!B:B, B31), "")</f>
        <v>74</v>
      </c>
      <c r="AM31" s="33">
        <f>IFERROR(MINIFS('الوحدات'!K:K, 'الوحدات'!B:B, B31, 'الوحدات'!M:M, "متاحة"), "")</f>
        <v>0</v>
      </c>
      <c r="AN31" s="33">
        <f>IFERROR(MAXIFS('الوحدات'!K:K, 'الوحدات'!B:B, B31), "")</f>
        <v>164</v>
      </c>
      <c r="AO31" s="33">
        <f>IFERROR(MAXIFS('الوحدات'!K:K, 'الوحدات'!B:B, B31, 'الوحدات'!M:M, "متاحة"), "")</f>
        <v>0</v>
      </c>
      <c r="AP31" s="32" t="str">
        <f t="shared" ref="AP31:AQ31" si="120">AN31&amp;"-"&amp;AL31</f>
        <v>164-74</v>
      </c>
      <c r="AQ31" s="32" t="str">
        <f t="shared" si="120"/>
        <v>0-0</v>
      </c>
      <c r="AR31" s="33">
        <f>IFERROR(MINIFS('الوحدات'!N:N, 'الوحدات'!B:B, B31), "")</f>
        <v>3</v>
      </c>
      <c r="AS31" s="33">
        <f>IFERROR(MINIFS('الوحدات'!N:N, 'الوحدات'!B:B, B31, 'الوحدات'!M:M, "متاحة"), "")</f>
        <v>0</v>
      </c>
      <c r="AT31" s="33">
        <f>IFERROR(MAXIFS('الوحدات'!N:N, 'الوحدات'!B:B, B31), "")</f>
        <v>3</v>
      </c>
      <c r="AU31" s="33">
        <f>IFERROR(MAXIFS('الوحدات'!N:N, 'الوحدات'!B:B, B31, 'الوحدات'!M:M, "متاحة"), "")</f>
        <v>0</v>
      </c>
      <c r="AV31" s="14" t="str">
        <f t="shared" ref="AV31:AW31" si="121">AT31&amp;"-"&amp;AR31</f>
        <v>3-3</v>
      </c>
      <c r="AW31" s="14" t="str">
        <f t="shared" si="121"/>
        <v>0-0</v>
      </c>
      <c r="AX31" s="33">
        <f>IFERROR(MINIFS('الوحدات'!O:O, 'الوحدات'!B:B, B31), "")</f>
        <v>3</v>
      </c>
      <c r="AY31" s="38">
        <f>IFERROR(MINIFS('الوحدات'!O:O, 'الوحدات'!B:B, B31, 'الوحدات'!M:M, "متاحة"), "")</f>
        <v>0</v>
      </c>
      <c r="AZ31" s="38">
        <f>IFERROR(MAXIFS('الوحدات'!O:O, 'الوحدات'!B:B, B31), "")</f>
        <v>3</v>
      </c>
      <c r="BA31" s="33">
        <f>IFERROR(MAXIFS('الوحدات'!O:O, 'الوحدات'!B:B, B31, 'الوحدات'!M:M, "متاحة"), "")</f>
        <v>0</v>
      </c>
      <c r="BB31" s="14" t="str">
        <f t="shared" ref="BB31:BC31" si="122">AZ31&amp;"-"&amp;AX31</f>
        <v>3-3</v>
      </c>
      <c r="BC31" s="14" t="str">
        <f t="shared" si="122"/>
        <v>0-0</v>
      </c>
    </row>
    <row r="32">
      <c r="A32" s="65">
        <v>31.0</v>
      </c>
      <c r="B32" s="14" t="s">
        <v>216</v>
      </c>
      <c r="C32" s="70" t="s">
        <v>118</v>
      </c>
      <c r="D32" s="14">
        <v>140.0</v>
      </c>
      <c r="E32" s="69" t="str">
        <f t="shared" si="58"/>
        <v>ألين - 140</v>
      </c>
      <c r="F32" s="26" t="str">
        <f t="array" ref="F32">SWITCH(
XLOOKUP(B32,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32" s="26" t="str">
        <f t="array" ref="G32">SWITCH(
XLOOKUP(B32, 'المشاريع'!B:B, 'المشاريع'!G:G),
"سكني","Residential",
"تجاري","Commercial"
)
</f>
        <v>Residential</v>
      </c>
      <c r="H32" s="26" t="str">
        <f t="array" ref="H32">SUBSTITUTE(
SUBSTITUTE(
SUBSTITUTE(
SUBSTITUTE(
SUBSTITUTE(
XLOOKUP(B32,'المشاريع'!B:B,'المشاريع'!H:H),
"شقة","Apartment"),
"دور","Floor"),
"فيلا","Villa"),
"تاون هاوس","Town House"),
"-",", ")
</f>
        <v>Floor</v>
      </c>
      <c r="I32" s="51"/>
      <c r="J32" s="71" t="s">
        <v>217</v>
      </c>
      <c r="K32" s="29" t="str">
        <f t="array" ref="K32">SUBSTITUTE(
SUBSTITUTE(
SUBSTITUTE(
SUBSTITUTE(
XLOOKUP(B32, 'المشاريع'!B:B, 'المشاريع'!K:K),
"شمال","North"),
"شرق","East"),
"جنوب","South"),
"غرب","West")
</f>
        <v>East</v>
      </c>
      <c r="L32" s="60" t="s">
        <v>86</v>
      </c>
      <c r="M32" s="60" t="s">
        <v>87</v>
      </c>
      <c r="N32" s="70" t="s">
        <v>214</v>
      </c>
      <c r="O32" s="72" t="s">
        <v>218</v>
      </c>
      <c r="P32" s="73"/>
      <c r="Q32" s="73"/>
      <c r="R32" s="88" t="str">
        <f t="array" ref="R32">SUBSTITUTE(
SUBSTITUTE(
SUBSTITUTE(
SUBSTITUTE(
SUBSTITUTE(
SUBSTITUTE(
SUBSTITUTE(
SUBSTITUTE(
SUBSTITUTE(
SUBSTITUTE(
SUBSTITUTE(
XLOOKUP(B32,'المشاريع'!B:B,'المشاريع'!R:R),"صالة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32" s="32">
        <f>COUNTIF('الوحدات'!B:B, B32)</f>
        <v>9</v>
      </c>
      <c r="T32" s="33">
        <f>COUNTIFS('الوحدات'!B:B, B32, 'الوحدات'!M:M, "متاحة")</f>
        <v>0</v>
      </c>
      <c r="U32" s="33">
        <f>COUNTIFS('الوحدات'!B:B, B32, 'الوحدات'!M:M, "تحت الإنشاء")</f>
        <v>9</v>
      </c>
      <c r="V32" s="33">
        <f>COUNTIFS('الوحدات'!B:B, B32, 'الوحدات'!M:M, "محجوزة")</f>
        <v>0</v>
      </c>
      <c r="W32" s="33">
        <f>COUNTIFS('الوحدات'!B:B, B32, 'الوحدات'!M:M, "مباعة")</f>
        <v>0</v>
      </c>
      <c r="X32" s="34">
        <f>IFERROR(AVERAGEIFS('الوحدات'!L:L, 'الوحدات'!B:B, B32), "")</f>
        <v>1349000</v>
      </c>
      <c r="Y32" s="89" t="str">
        <f>IFERROR(
ROUND(
AVERAGEIFS('الوحدات'!L:L, 'الوحدات'!B:B, B32, 'الوحدات'!M:M, "متاحة"),
2
),
""
)
</f>
        <v/>
      </c>
      <c r="Z32" s="34">
        <f>IFERROR(SUMIFS('الوحدات'!L:L, 'الوحدات'!B:B, B32), "")</f>
        <v>12141000</v>
      </c>
      <c r="AA32" s="36">
        <f t="shared" si="5"/>
        <v>0</v>
      </c>
      <c r="AB32" s="34">
        <f>IFERROR(SUMIFS('الوحدات'!L:L, 'الوحدات'!B:B, B32, 'الوحدات'!M:M, "تحت الإنشاء"), "")</f>
        <v>12141000</v>
      </c>
      <c r="AC32" s="34">
        <f>IFERROR(SUMIFS('الوحدات'!L:L, 'الوحدات'!B:B, B32, 'الوحدات'!M:M, "متاحة"), "")</f>
        <v>0</v>
      </c>
      <c r="AD32" s="34">
        <f>IFERROR(SUMIFS('الوحدات'!L:L, 'الوحدات'!B:B, B32, 'الوحدات'!M:M, "محجوزة"), "")</f>
        <v>0</v>
      </c>
      <c r="AE32" s="34">
        <f>IFERROR(SUMIFS('الوحدات'!L:L, 'الوحدات'!B:B, B32, 'الوحدات'!M:M, "مباعة"), "")</f>
        <v>0</v>
      </c>
      <c r="AF32" s="34">
        <f>IFERROR(
ROUND(
VALUE(
SUBSTITUTE(
SUBSTITUTE(
MINIFS('الوحدات'!L:L,'الوحدات'!B:B,B32),
",",""),
"٬","")
),
0
),
""
)
</f>
        <v>899000</v>
      </c>
      <c r="AG32" s="34">
        <f>IFERROR(MINIFS('الوحدات'!L:L, 'الوحدات'!B:B, B32, 'الوحدات'!M:M, "متاحة"), "")</f>
        <v>0</v>
      </c>
      <c r="AH32" s="34">
        <f>IFERROR(MAXIFS('الوحدات'!L:L, 'الوحدات'!B:B, B32), "")</f>
        <v>1699000</v>
      </c>
      <c r="AI32" s="34">
        <f>IFERROR(MAXIFS('الوحدات'!L:L, 'الوحدات'!B:B, B32, 'الوحدات'!M:M, "متاحة"), "")</f>
        <v>0</v>
      </c>
      <c r="AJ32" s="32" t="str">
        <f t="shared" ref="AJ32:AK32" si="123">AH32&amp;"-"&amp;AF32</f>
        <v>1699000-899000</v>
      </c>
      <c r="AK32" s="37" t="str">
        <f t="shared" si="123"/>
        <v>0-0</v>
      </c>
      <c r="AL32" s="34">
        <f>IFERROR(MINIFS('الوحدات'!K:K, 'الوحدات'!B:B, B32), "")</f>
        <v>72</v>
      </c>
      <c r="AM32" s="33">
        <f>IFERROR(MINIFS('الوحدات'!K:K, 'الوحدات'!B:B, B32, 'الوحدات'!M:M, "متاحة"), "")</f>
        <v>0</v>
      </c>
      <c r="AN32" s="33">
        <f>IFERROR(MAXIFS('الوحدات'!K:K, 'الوحدات'!B:B, B32), "")</f>
        <v>165</v>
      </c>
      <c r="AO32" s="33">
        <f>IFERROR(MAXIFS('الوحدات'!K:K, 'الوحدات'!B:B, B32, 'الوحدات'!M:M, "متاحة"), "")</f>
        <v>0</v>
      </c>
      <c r="AP32" s="32" t="str">
        <f t="shared" ref="AP32:AQ32" si="124">AN32&amp;"-"&amp;AL32</f>
        <v>165-72</v>
      </c>
      <c r="AQ32" s="32" t="str">
        <f t="shared" si="124"/>
        <v>0-0</v>
      </c>
      <c r="AR32" s="33">
        <f>IFERROR(MINIFS('الوحدات'!N:N, 'الوحدات'!B:B, B32), "")</f>
        <v>3</v>
      </c>
      <c r="AS32" s="33">
        <f>IFERROR(MINIFS('الوحدات'!N:N, 'الوحدات'!B:B, B32, 'الوحدات'!M:M, "متاحة"), "")</f>
        <v>0</v>
      </c>
      <c r="AT32" s="33">
        <f>IFERROR(MAXIFS('الوحدات'!N:N, 'الوحدات'!B:B, B32), "")</f>
        <v>3</v>
      </c>
      <c r="AU32" s="33">
        <f>IFERROR(MAXIFS('الوحدات'!N:N, 'الوحدات'!B:B, B32, 'الوحدات'!M:M, "متاحة"), "")</f>
        <v>0</v>
      </c>
      <c r="AV32" s="14" t="str">
        <f t="shared" ref="AV32:AW32" si="125">AT32&amp;"-"&amp;AR32</f>
        <v>3-3</v>
      </c>
      <c r="AW32" s="14" t="str">
        <f t="shared" si="125"/>
        <v>0-0</v>
      </c>
      <c r="AX32" s="33">
        <f>IFERROR(MINIFS('الوحدات'!O:O, 'الوحدات'!B:B, B32), "")</f>
        <v>0</v>
      </c>
      <c r="AY32" s="38">
        <f>IFERROR(MINIFS('الوحدات'!O:O, 'الوحدات'!B:B, B32, 'الوحدات'!M:M, "متاحة"), "")</f>
        <v>0</v>
      </c>
      <c r="AZ32" s="38">
        <f>IFERROR(MAXIFS('الوحدات'!O:O, 'الوحدات'!B:B, B32), "")</f>
        <v>0</v>
      </c>
      <c r="BA32" s="33">
        <f>IFERROR(MAXIFS('الوحدات'!O:O, 'الوحدات'!B:B, B32, 'الوحدات'!M:M, "متاحة"), "")</f>
        <v>0</v>
      </c>
      <c r="BB32" s="14" t="str">
        <f t="shared" ref="BB32:BC32" si="126">AZ32&amp;"-"&amp;AX32</f>
        <v>0-0</v>
      </c>
      <c r="BC32" s="14" t="str">
        <f t="shared" si="126"/>
        <v>0-0</v>
      </c>
    </row>
    <row r="33">
      <c r="A33" s="65">
        <v>32.0</v>
      </c>
      <c r="B33" s="14" t="s">
        <v>219</v>
      </c>
      <c r="C33" s="70" t="s">
        <v>118</v>
      </c>
      <c r="D33" s="14">
        <v>156.0</v>
      </c>
      <c r="E33" s="69" t="str">
        <f t="shared" si="58"/>
        <v>ألين - 156</v>
      </c>
      <c r="F33" s="26" t="str">
        <f t="array" ref="F33">SWITCH(
XLOOKUP(B33,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Under Construction</v>
      </c>
      <c r="G33" s="26" t="str">
        <f t="array" ref="G33">SWITCH(
XLOOKUP(B33, 'المشاريع'!B:B, 'المشاريع'!G:G),
"سكني","Residential",
"تجاري","Commercial"
)
</f>
        <v>Residential</v>
      </c>
      <c r="H33" s="26" t="str">
        <f t="array" ref="H33">SUBSTITUTE(
SUBSTITUTE(
SUBSTITUTE(
SUBSTITUTE(
SUBSTITUTE(
XLOOKUP(B33,'المشاريع'!B:B,'المشاريع'!H:H),
"شقة","Apartment"),
"دور","Floor"),
"فيلا","Villa"),
"تاون هاوس","Town House"),
"-",", ")
</f>
        <v>Floor</v>
      </c>
      <c r="I33" s="51"/>
      <c r="J33" s="75" t="s">
        <v>220</v>
      </c>
      <c r="K33" s="29" t="str">
        <f t="array" ref="K33">SUBSTITUTE(
SUBSTITUTE(
SUBSTITUTE(
SUBSTITUTE(
XLOOKUP(B33, 'المشاريع'!B:B, 'المشاريع'!K:K),
"شمال","North"),
"شرق","East"),
"جنوب","South"),
"غرب","West")
</f>
        <v>East</v>
      </c>
      <c r="L33" s="60" t="s">
        <v>86</v>
      </c>
      <c r="M33" s="60" t="s">
        <v>87</v>
      </c>
      <c r="N33" s="70" t="s">
        <v>221</v>
      </c>
      <c r="O33" s="72" t="s">
        <v>222</v>
      </c>
      <c r="P33" s="73"/>
      <c r="Q33" s="73"/>
      <c r="R33" s="88" t="str">
        <f t="array" ref="R33">SUBSTITUTE(
SUBSTITUTE(
SUBSTITUTE(
SUBSTITUTE(
SUBSTITUTE(
SUBSTITUTE(
SUBSTITUTE(
SUBSTITUTE(
SUBSTITUTE(
SUBSTITUTE(
SUBSTITUTE(
XLOOKUP(B33,'المشاريع'!B:B,'المشاريع'!R:R),"صالة جلوس","Living room"),
"مجلس","Reception room"),
"غرفة سائق","Driver room"),
"صالة طعام","Dining room"),
"غرفة خادمة","Maid room"),
"بلكونة","Balcony"),
"فناء خارجي","Outdoor courtyard"),
"غرفة خدمات","Utility room"),
"غرفة غسيل","Laundry room"),
"مطبخ","Kitchen"),
"-",", ")
</f>
        <v/>
      </c>
      <c r="S33" s="32">
        <f>COUNTIF('الوحدات'!B:B, B33)</f>
        <v>9</v>
      </c>
      <c r="T33" s="33">
        <f>COUNTIFS('الوحدات'!B:B, B33, 'الوحدات'!M:M, "متاحة")</f>
        <v>0</v>
      </c>
      <c r="U33" s="33">
        <f>COUNTIFS('الوحدات'!B:B, B33, 'الوحدات'!M:M, "تحت الإنشاء")</f>
        <v>9</v>
      </c>
      <c r="V33" s="33">
        <f>COUNTIFS('الوحدات'!B:B, B33, 'الوحدات'!M:M, "محجوزة")</f>
        <v>0</v>
      </c>
      <c r="W33" s="33">
        <f>COUNTIFS('الوحدات'!B:B, B33, 'الوحدات'!M:M, "مباعة")</f>
        <v>0</v>
      </c>
      <c r="X33" s="34">
        <f>IFERROR(AVERAGEIFS('الوحدات'!L:L, 'الوحدات'!B:B, B33), "")</f>
        <v>1326777.778</v>
      </c>
      <c r="Y33" s="89" t="str">
        <f>IFERROR(
ROUND(
AVERAGEIFS('الوحدات'!L:L, 'الوحدات'!B:B, B33, 'الوحدات'!M:M, "متاحة"),
2
),
""
)
</f>
        <v/>
      </c>
      <c r="Z33" s="34">
        <f>IFERROR(SUMIFS('الوحدات'!L:L, 'الوحدات'!B:B, B33), "")</f>
        <v>11941000</v>
      </c>
      <c r="AA33" s="36">
        <f t="shared" si="5"/>
        <v>0</v>
      </c>
      <c r="AB33" s="34">
        <f>IFERROR(SUMIFS('الوحدات'!L:L, 'الوحدات'!B:B, B33, 'الوحدات'!M:M, "تحت الإنشاء"), "")</f>
        <v>11941000</v>
      </c>
      <c r="AC33" s="34">
        <f>IFERROR(SUMIFS('الوحدات'!L:L, 'الوحدات'!B:B, B33, 'الوحدات'!M:M, "متاحة"), "")</f>
        <v>0</v>
      </c>
      <c r="AD33" s="34">
        <f>IFERROR(SUMIFS('الوحدات'!L:L, 'الوحدات'!B:B, B33, 'الوحدات'!M:M, "محجوزة"), "")</f>
        <v>0</v>
      </c>
      <c r="AE33" s="34">
        <f>IFERROR(SUMIFS('الوحدات'!L:L, 'الوحدات'!B:B, B33, 'الوحدات'!M:M, "مباعة"), "")</f>
        <v>0</v>
      </c>
      <c r="AF33" s="34">
        <f>IFERROR(
ROUND(
VALUE(
SUBSTITUTE(
SUBSTITUTE(
MINIFS('الوحدات'!L:L,'الوحدات'!B:B,B33),
",",""),
"٬","")
),
0
),
""
)
</f>
        <v>899000</v>
      </c>
      <c r="AG33" s="34">
        <f>IFERROR(MINIFS('الوحدات'!L:L, 'الوحدات'!B:B, B33, 'الوحدات'!M:M, "متاحة"), "")</f>
        <v>0</v>
      </c>
      <c r="AH33" s="34">
        <f>IFERROR(MAXIFS('الوحدات'!L:L, 'الوحدات'!B:B, B33), "")</f>
        <v>1599000</v>
      </c>
      <c r="AI33" s="34">
        <f>IFERROR(MAXIFS('الوحدات'!L:L, 'الوحدات'!B:B, B33, 'الوحدات'!M:M, "متاحة"), "")</f>
        <v>0</v>
      </c>
      <c r="AJ33" s="32" t="str">
        <f t="shared" ref="AJ33:AK33" si="127">AH33&amp;"-"&amp;AF33</f>
        <v>1599000-899000</v>
      </c>
      <c r="AK33" s="37" t="str">
        <f t="shared" si="127"/>
        <v>0-0</v>
      </c>
      <c r="AL33" s="34">
        <f>IFERROR(MINIFS('الوحدات'!K:K, 'الوحدات'!B:B, B33), "")</f>
        <v>68</v>
      </c>
      <c r="AM33" s="33">
        <f>IFERROR(MINIFS('الوحدات'!K:K, 'الوحدات'!B:B, B33, 'الوحدات'!M:M, "متاحة"), "")</f>
        <v>0</v>
      </c>
      <c r="AN33" s="33">
        <f>IFERROR(MAXIFS('الوحدات'!K:K, 'الوحدات'!B:B, B33), "")</f>
        <v>155</v>
      </c>
      <c r="AO33" s="33">
        <f>IFERROR(MAXIFS('الوحدات'!K:K, 'الوحدات'!B:B, B33, 'الوحدات'!M:M, "متاحة"), "")</f>
        <v>0</v>
      </c>
      <c r="AP33" s="32" t="str">
        <f t="shared" ref="AP33:AQ33" si="128">AN33&amp;"-"&amp;AL33</f>
        <v>155-68</v>
      </c>
      <c r="AQ33" s="32" t="str">
        <f t="shared" si="128"/>
        <v>0-0</v>
      </c>
      <c r="AR33" s="33">
        <f>IFERROR(MINIFS('الوحدات'!N:N, 'الوحدات'!B:B, B33), "")</f>
        <v>3</v>
      </c>
      <c r="AS33" s="33">
        <f>IFERROR(MINIFS('الوحدات'!N:N, 'الوحدات'!B:B, B33, 'الوحدات'!M:M, "متاحة"), "")</f>
        <v>0</v>
      </c>
      <c r="AT33" s="33">
        <f>IFERROR(MAXIFS('الوحدات'!N:N, 'الوحدات'!B:B, B33), "")</f>
        <v>3</v>
      </c>
      <c r="AU33" s="33">
        <f>IFERROR(MAXIFS('الوحدات'!N:N, 'الوحدات'!B:B, B33, 'الوحدات'!M:M, "متاحة"), "")</f>
        <v>0</v>
      </c>
      <c r="AV33" s="14" t="str">
        <f t="shared" ref="AV33:AW33" si="129">AT33&amp;"-"&amp;AR33</f>
        <v>3-3</v>
      </c>
      <c r="AW33" s="14" t="str">
        <f t="shared" si="129"/>
        <v>0-0</v>
      </c>
      <c r="AX33" s="33">
        <f>IFERROR(MINIFS('الوحدات'!O:O, 'الوحدات'!B:B, B33), "")</f>
        <v>4</v>
      </c>
      <c r="AY33" s="38">
        <f>IFERROR(MINIFS('الوحدات'!O:O, 'الوحدات'!B:B, B33, 'الوحدات'!M:M, "متاحة"), "")</f>
        <v>0</v>
      </c>
      <c r="AZ33" s="38">
        <f>IFERROR(MAXIFS('الوحدات'!O:O, 'الوحدات'!B:B, B33), "")</f>
        <v>4</v>
      </c>
      <c r="BA33" s="33">
        <f>IFERROR(MAXIFS('الوحدات'!O:O, 'الوحدات'!B:B, B33, 'الوحدات'!M:M, "متاحة"), "")</f>
        <v>0</v>
      </c>
      <c r="BB33" s="14" t="str">
        <f t="shared" ref="BB33:BC33" si="130">AZ33&amp;"-"&amp;AX33</f>
        <v>4-4</v>
      </c>
      <c r="BC33" s="14" t="str">
        <f t="shared" si="130"/>
        <v>0-0</v>
      </c>
    </row>
    <row r="34">
      <c r="A34" s="65">
        <v>33.0</v>
      </c>
      <c r="B34" s="65" t="s">
        <v>223</v>
      </c>
      <c r="C34" s="64" t="s">
        <v>224</v>
      </c>
      <c r="D34" s="14"/>
      <c r="E34" s="64" t="s">
        <v>225</v>
      </c>
      <c r="F34" s="26" t="str">
        <f t="array" ref="F34">SWITCH(
XLOOKUP(B34, 'المشاريع'!B:B, 'المشاريع'!F:F),
"متاح","Available",
"غير متاح","Not Available",
"مباع","Fully Sold",
"تحت الإنشاء","Under Construction",
"تحت الإنشاء جزئيا","Partly Under Construction",
"مفاوضات","Negotiations"
)
</f>
        <v>Available</v>
      </c>
      <c r="G34" s="26" t="str">
        <f t="array" ref="G34">SWITCH(
XLOOKUP(B34, 'المشاريع'!B:B, 'المشاريع'!G:G),
"سكني","Residential",
"تجاري","Commercial"
)
</f>
        <v>Residential</v>
      </c>
      <c r="H34" s="26" t="str">
        <f t="array" ref="H34">SUBSTITUTE(
SUBSTITUTE(
SUBSTITUTE(
SUBSTITUTE(
SUBSTITUTE(
XLOOKUP(B34,'المشاريع'!B:B,'المشاريع'!H:H),
"شقة","Apartment"),
"دور","Floor"),
"فيلا","Villa"),
"تاون هاوس","Town House"),
"-",", ")
</f>
        <v>Apartment</v>
      </c>
      <c r="I34" s="51"/>
      <c r="J34" s="71" t="s">
        <v>226</v>
      </c>
      <c r="K34" s="29" t="str">
        <f t="array" ref="K34">SUBSTITUTE(
SUBSTITUTE(
SUBSTITUTE(
SUBSTITUTE(
XLOOKUP(B34, 'المشاريع'!B:B, 'المشاريع'!K:K),
"شمال","North"),
"شرق","East"),
"جنوب","South"),
"غرب","West")
</f>
        <v>East</v>
      </c>
      <c r="L34" s="60" t="s">
        <v>86</v>
      </c>
      <c r="M34" s="60" t="s">
        <v>87</v>
      </c>
      <c r="N34" s="70" t="s">
        <v>197</v>
      </c>
      <c r="O34" s="73"/>
      <c r="P34" s="73"/>
      <c r="Q34" s="73"/>
      <c r="R34" s="88"/>
      <c r="S34" s="32">
        <f>COUNTIF('الوحدات'!B:B, B34)</f>
        <v>36</v>
      </c>
      <c r="T34" s="33">
        <f>COUNTIFS('الوحدات'!B:B, B34, 'الوحدات'!M:M, "متاحة")</f>
        <v>36</v>
      </c>
      <c r="U34" s="33">
        <f>COUNTIFS('الوحدات'!B:B, B34, 'الوحدات'!M:M, "تحت الإنشاء")</f>
        <v>0</v>
      </c>
      <c r="V34" s="33">
        <f>COUNTIFS('الوحدات'!B:B, B34, 'الوحدات'!M:M, "محجوزة")</f>
        <v>0</v>
      </c>
      <c r="W34" s="33">
        <f>COUNTIFS('الوحدات'!B:B, B34, 'الوحدات'!M:M, "مباعة")</f>
        <v>0</v>
      </c>
      <c r="X34" s="34">
        <f>IFERROR(AVERAGEIFS('الوحدات'!L:L, 'الوحدات'!B:B, B34), "")</f>
        <v>808750</v>
      </c>
      <c r="Y34" s="89">
        <f>IFERROR(
ROUND(
AVERAGEIFS('الوحدات'!L:L, 'الوحدات'!B:B, B34, 'الوحدات'!M:M, "متاحة"),
2
),
""
)
</f>
        <v>808750</v>
      </c>
      <c r="Z34" s="34">
        <f>IFERROR(SUMIFS('الوحدات'!L:L, 'الوحدات'!B:B, B34), "")</f>
        <v>29115000</v>
      </c>
      <c r="AA34" s="36">
        <f t="shared" si="5"/>
        <v>0</v>
      </c>
      <c r="AB34" s="34">
        <f>IFERROR(SUMIFS('الوحدات'!L:L, 'الوحدات'!B:B, B34, 'الوحدات'!M:M, "تحت الإنشاء"), "")</f>
        <v>0</v>
      </c>
      <c r="AC34" s="34">
        <f>IFERROR(SUMIFS('الوحدات'!L:L, 'الوحدات'!B:B, B34, 'الوحدات'!M:M, "متاحة"), "")</f>
        <v>29115000</v>
      </c>
      <c r="AD34" s="34">
        <f>IFERROR(SUMIFS('الوحدات'!L:L, 'الوحدات'!B:B, B34, 'الوحدات'!M:M, "محجوزة"), "")</f>
        <v>0</v>
      </c>
      <c r="AE34" s="34">
        <f>IFERROR(SUMIFS('الوحدات'!L:L, 'الوحدات'!B:B, B34, 'الوحدات'!M:M, "مباعة"), "")</f>
        <v>0</v>
      </c>
      <c r="AF34" s="34">
        <f>IFERROR(
ROUND(
VALUE(
SUBSTITUTE(
SUBSTITUTE(
MINIFS('الوحدات'!L:L,'الوحدات'!B:B,B34),
",",""),
"٬","")
),
0
),
""
)
</f>
        <v>695000</v>
      </c>
      <c r="AG34" s="34">
        <f>IFERROR(MINIFS('الوحدات'!L:L, 'الوحدات'!B:B, B34, 'الوحدات'!M:M, "متاحة"), "")</f>
        <v>695000</v>
      </c>
      <c r="AH34" s="34">
        <f>IFERROR(MAXIFS('الوحدات'!L:L, 'الوحدات'!B:B, B34), "")</f>
        <v>910000</v>
      </c>
      <c r="AI34" s="34">
        <f>IFERROR(MAXIFS('الوحدات'!L:L, 'الوحدات'!B:B, B34, 'الوحدات'!M:M, "متاحة"), "")</f>
        <v>910000</v>
      </c>
      <c r="AJ34" s="32" t="str">
        <f t="shared" ref="AJ34:AK34" si="131">AH34&amp;"-"&amp;AF34</f>
        <v>910000-695000</v>
      </c>
      <c r="AK34" s="37" t="str">
        <f t="shared" si="131"/>
        <v>910000-695000</v>
      </c>
      <c r="AL34" s="34">
        <f>IFERROR(MINIFS('الوحدات'!K:K, 'الوحدات'!B:B, B34), "")</f>
        <v>90</v>
      </c>
      <c r="AM34" s="33">
        <f>IFERROR(MINIFS('الوحدات'!K:K, 'الوحدات'!B:B, B34, 'الوحدات'!M:M, "متاحة"), "")</f>
        <v>90</v>
      </c>
      <c r="AN34" s="33">
        <f>IFERROR(MAXIFS('الوحدات'!K:K, 'الوحدات'!B:B, B34), "")</f>
        <v>149</v>
      </c>
      <c r="AO34" s="33">
        <f>IFERROR(MAXIFS('الوحدات'!K:K, 'الوحدات'!B:B, B34, 'الوحدات'!M:M, "متاحة"), "")</f>
        <v>149</v>
      </c>
      <c r="AP34" s="32" t="str">
        <f t="shared" ref="AP34:AQ34" si="132">AN34&amp;"-"&amp;AL34</f>
        <v>149-90</v>
      </c>
      <c r="AQ34" s="32" t="str">
        <f t="shared" si="132"/>
        <v>149-90</v>
      </c>
      <c r="AR34" s="33">
        <f>IFERROR(MINIFS('الوحدات'!N:N, 'الوحدات'!B:B, B34), "")</f>
        <v>2</v>
      </c>
      <c r="AS34" s="33">
        <f>IFERROR(MINIFS('الوحدات'!N:N, 'الوحدات'!B:B, B34, 'الوحدات'!M:M, "متاحة"), "")</f>
        <v>2</v>
      </c>
      <c r="AT34" s="33">
        <f>IFERROR(MAXIFS('الوحدات'!N:N, 'الوحدات'!B:B, B34), "")</f>
        <v>3</v>
      </c>
      <c r="AU34" s="33">
        <f>IFERROR(MAXIFS('الوحدات'!N:N, 'الوحدات'!B:B, B34, 'الوحدات'!M:M, "متاحة"), "")</f>
        <v>3</v>
      </c>
      <c r="AV34" s="14" t="str">
        <f t="shared" ref="AV34:AW34" si="133">AT34&amp;"-"&amp;AR34</f>
        <v>3-2</v>
      </c>
      <c r="AW34" s="14" t="str">
        <f t="shared" si="133"/>
        <v>3-2</v>
      </c>
      <c r="AX34" s="33">
        <f>IFERROR(MINIFS('الوحدات'!O:O, 'الوحدات'!B:B, B34), "")</f>
        <v>2</v>
      </c>
      <c r="AY34" s="38">
        <f>IFERROR(MINIFS('الوحدات'!O:O, 'الوحدات'!B:B, B34, 'الوحدات'!M:M, "متاحة"), "")</f>
        <v>2</v>
      </c>
      <c r="AZ34" s="38">
        <f>IFERROR(MAXIFS('الوحدات'!O:O, 'الوحدات'!B:B, B34), "")</f>
        <v>3</v>
      </c>
      <c r="BA34" s="33">
        <f>IFERROR(MAXIFS('الوحدات'!O:O, 'الوحدات'!B:B, B34, 'الوحدات'!M:M, "متاحة"), "")</f>
        <v>3</v>
      </c>
      <c r="BB34" s="14" t="str">
        <f t="shared" ref="BB34:BC34" si="134">AZ34&amp;"-"&amp;AX34</f>
        <v>3-2</v>
      </c>
      <c r="BC34" s="14" t="str">
        <f t="shared" si="134"/>
        <v>3-2</v>
      </c>
    </row>
  </sheetData>
  <autoFilter ref="$A$1:$BC$34"/>
  <hyperlinks>
    <hyperlink r:id="rId1" ref="J2"/>
    <hyperlink r:id="rId2" ref="J3"/>
    <hyperlink r:id="rId3" ref="J4"/>
    <hyperlink r:id="rId4" ref="O4"/>
    <hyperlink r:id="rId5" ref="J5"/>
    <hyperlink r:id="rId6" ref="O5"/>
    <hyperlink r:id="rId7" ref="J6"/>
    <hyperlink r:id="rId8" ref="O6"/>
    <hyperlink r:id="rId9" ref="J7"/>
    <hyperlink r:id="rId10" ref="J8"/>
    <hyperlink r:id="rId11" ref="O8"/>
    <hyperlink r:id="rId12" ref="J9"/>
    <hyperlink r:id="rId13" ref="O9"/>
    <hyperlink r:id="rId14" ref="J10"/>
    <hyperlink r:id="rId15" ref="O10"/>
    <hyperlink r:id="rId16" ref="J11"/>
    <hyperlink r:id="rId17" ref="J12"/>
    <hyperlink r:id="rId18" ref="J14"/>
    <hyperlink r:id="rId19" ref="J15"/>
    <hyperlink r:id="rId20" ref="O15"/>
    <hyperlink r:id="rId21" ref="J16"/>
    <hyperlink r:id="rId22" ref="O16"/>
    <hyperlink r:id="rId23" ref="J17"/>
    <hyperlink r:id="rId24" ref="O17"/>
    <hyperlink r:id="rId25" ref="J18"/>
    <hyperlink r:id="rId26" ref="O18"/>
    <hyperlink r:id="rId27" ref="J19"/>
    <hyperlink r:id="rId28" ref="O19"/>
    <hyperlink r:id="rId29" ref="J20"/>
    <hyperlink r:id="rId30" ref="O20"/>
    <hyperlink r:id="rId31" ref="J21"/>
    <hyperlink r:id="rId32" ref="O21"/>
    <hyperlink r:id="rId33" ref="J22"/>
    <hyperlink r:id="rId34" ref="O22"/>
    <hyperlink r:id="rId35" ref="J23"/>
    <hyperlink r:id="rId36" ref="O23"/>
    <hyperlink r:id="rId37" ref="J24"/>
    <hyperlink r:id="rId38" ref="O24"/>
    <hyperlink r:id="rId39" ref="J25"/>
    <hyperlink r:id="rId40" ref="O25"/>
    <hyperlink r:id="rId41" ref="J26"/>
    <hyperlink r:id="rId42" ref="O26"/>
    <hyperlink r:id="rId43" ref="J27"/>
    <hyperlink r:id="rId44" ref="O27"/>
    <hyperlink r:id="rId45" ref="J28"/>
    <hyperlink r:id="rId46" ref="O28"/>
    <hyperlink r:id="rId47" ref="J29"/>
    <hyperlink r:id="rId48" ref="O29"/>
    <hyperlink r:id="rId49" ref="J30"/>
    <hyperlink r:id="rId50" ref="O30"/>
    <hyperlink r:id="rId51" ref="J31"/>
    <hyperlink r:id="rId52" ref="O31"/>
    <hyperlink r:id="rId53" ref="J32"/>
    <hyperlink r:id="rId54" ref="O32"/>
    <hyperlink r:id="rId55" ref="J33"/>
    <hyperlink r:id="rId56" ref="O33"/>
    <hyperlink r:id="rId57" ref="J34"/>
  </hyperlinks>
  <drawing r:id="rId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9.0"/>
    <col customWidth="1" min="4" max="4" width="10.63"/>
    <col customWidth="1" min="5" max="5" width="15.13"/>
    <col customWidth="1" min="6" max="6" width="12.0"/>
    <col customWidth="1" min="7" max="7" width="13.75"/>
    <col customWidth="1" min="8" max="8" width="10.75"/>
    <col customWidth="1" min="9" max="9" width="10.88"/>
    <col customWidth="1" min="10" max="10" width="8.63"/>
    <col customWidth="1" min="11" max="11" width="11.13"/>
    <col customWidth="1" min="12" max="12" width="13.38"/>
    <col customWidth="1" min="13" max="13" width="13.25"/>
    <col customWidth="1" min="14" max="14" width="9.38"/>
    <col customWidth="1" min="15" max="15" width="8.38"/>
    <col customWidth="1" min="16" max="16" width="44.25"/>
    <col customWidth="1" min="17" max="17" width="10.5"/>
    <col customWidth="1" min="18" max="18" width="10.38"/>
    <col customWidth="1" min="20" max="20" width="9.5"/>
    <col customWidth="1" min="21" max="21" width="10.5"/>
    <col customWidth="1" min="22" max="22" width="9.75"/>
    <col customWidth="1" min="23" max="23" width="8.63"/>
    <col customWidth="1" min="24" max="24" width="33.0"/>
    <col customWidth="1" min="25" max="25" width="13.75"/>
    <col customWidth="1" min="26" max="26" width="7.13"/>
    <col customWidth="1" min="27" max="27" width="6.13"/>
    <col customWidth="1" min="28" max="28" width="13.13"/>
    <col customWidth="1" min="29" max="29" width="29.25"/>
    <col customWidth="1" min="30" max="30" width="28.0"/>
  </cols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291</v>
      </c>
      <c r="I1" s="6" t="s">
        <v>13</v>
      </c>
      <c r="J1" s="6" t="s">
        <v>14</v>
      </c>
      <c r="K1" s="126" t="s">
        <v>15</v>
      </c>
      <c r="L1" s="127" t="s">
        <v>16</v>
      </c>
      <c r="M1" s="5" t="s">
        <v>17</v>
      </c>
      <c r="N1" s="6" t="s">
        <v>18</v>
      </c>
      <c r="O1" s="6" t="s">
        <v>19</v>
      </c>
      <c r="P1" s="5" t="s">
        <v>20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39</v>
      </c>
      <c r="Y1" s="6" t="s">
        <v>29</v>
      </c>
      <c r="Z1" s="6" t="s">
        <v>30</v>
      </c>
      <c r="AA1" s="6" t="s">
        <v>31</v>
      </c>
      <c r="AB1" s="6" t="s">
        <v>32</v>
      </c>
      <c r="AC1" s="5" t="s">
        <v>33</v>
      </c>
      <c r="AD1" s="5" t="s">
        <v>34</v>
      </c>
    </row>
    <row r="2">
      <c r="A2" s="7">
        <v>1.0</v>
      </c>
      <c r="B2" s="7" t="s">
        <v>81</v>
      </c>
      <c r="C2" s="8" t="s">
        <v>82</v>
      </c>
      <c r="D2" s="7"/>
      <c r="E2" s="7" t="s">
        <v>292</v>
      </c>
      <c r="F2" s="9" t="str">
        <f t="shared" ref="F2:F106" si="1">IF(J2="دور","FL",
IF(J2="شقة","AP",
IF(J2="فيلا","VI",
IF(J2="تاون هاوس","TH",""))))
</f>
        <v>FL</v>
      </c>
      <c r="G2" s="7" t="str">
        <f t="shared" ref="G2:G478" si="2">B2&amp;"-"&amp;I2&amp;"-"&amp;E2&amp;"-"&amp;F2</f>
        <v>TAN-A-1-FL</v>
      </c>
      <c r="H2" s="8" t="s">
        <v>293</v>
      </c>
      <c r="I2" s="18" t="s">
        <v>294</v>
      </c>
      <c r="J2" s="8" t="s">
        <v>295</v>
      </c>
      <c r="K2" s="128">
        <v>258.0</v>
      </c>
      <c r="L2" s="7">
        <v>990000.0</v>
      </c>
      <c r="M2" s="8" t="s">
        <v>296</v>
      </c>
      <c r="N2" s="11">
        <v>3.0</v>
      </c>
      <c r="O2" s="7">
        <v>3.0</v>
      </c>
      <c r="P2" s="12" t="s">
        <v>89</v>
      </c>
      <c r="Q2" s="11"/>
      <c r="R2" s="8" t="s">
        <v>297</v>
      </c>
      <c r="S2" s="8" t="s">
        <v>298</v>
      </c>
      <c r="T2" s="13"/>
      <c r="U2" s="129">
        <v>194.0</v>
      </c>
      <c r="V2" s="15"/>
      <c r="W2" s="16"/>
      <c r="X2" s="17" t="s">
        <v>84</v>
      </c>
      <c r="Y2" s="18" t="s">
        <v>86</v>
      </c>
      <c r="Z2" s="8" t="s">
        <v>87</v>
      </c>
      <c r="AA2" s="12" t="s">
        <v>88</v>
      </c>
      <c r="AB2" s="130"/>
      <c r="AC2" s="17"/>
      <c r="AD2" s="17"/>
    </row>
    <row r="3">
      <c r="A3" s="7">
        <v>1.0</v>
      </c>
      <c r="B3" s="7" t="s">
        <v>81</v>
      </c>
      <c r="C3" s="8" t="s">
        <v>82</v>
      </c>
      <c r="D3" s="7"/>
      <c r="E3" s="7" t="s">
        <v>299</v>
      </c>
      <c r="F3" s="9" t="str">
        <f t="shared" si="1"/>
        <v>FL</v>
      </c>
      <c r="G3" s="7" t="str">
        <f t="shared" si="2"/>
        <v>TAN-A-2-FL</v>
      </c>
      <c r="H3" s="8" t="s">
        <v>293</v>
      </c>
      <c r="I3" s="18" t="s">
        <v>294</v>
      </c>
      <c r="J3" s="8" t="s">
        <v>295</v>
      </c>
      <c r="K3" s="128">
        <v>186.0</v>
      </c>
      <c r="L3" s="7">
        <v>800000.0</v>
      </c>
      <c r="M3" s="8" t="s">
        <v>296</v>
      </c>
      <c r="N3" s="11">
        <v>3.0</v>
      </c>
      <c r="O3" s="7">
        <v>3.0</v>
      </c>
      <c r="P3" s="8" t="s">
        <v>89</v>
      </c>
      <c r="Q3" s="11"/>
      <c r="R3" s="8" t="s">
        <v>297</v>
      </c>
      <c r="S3" s="8" t="s">
        <v>298</v>
      </c>
      <c r="T3" s="13"/>
      <c r="U3" s="129">
        <v>186.0</v>
      </c>
      <c r="V3" s="15"/>
      <c r="W3" s="16"/>
      <c r="X3" s="17" t="s">
        <v>84</v>
      </c>
      <c r="Y3" s="18" t="s">
        <v>86</v>
      </c>
      <c r="Z3" s="8" t="s">
        <v>87</v>
      </c>
      <c r="AA3" s="12" t="s">
        <v>88</v>
      </c>
      <c r="AB3" s="130"/>
      <c r="AC3" s="17"/>
      <c r="AD3" s="17"/>
    </row>
    <row r="4">
      <c r="A4" s="7">
        <v>1.0</v>
      </c>
      <c r="B4" s="7" t="s">
        <v>81</v>
      </c>
      <c r="C4" s="8" t="s">
        <v>82</v>
      </c>
      <c r="D4" s="7"/>
      <c r="E4" s="7" t="s">
        <v>300</v>
      </c>
      <c r="F4" s="9" t="str">
        <f t="shared" si="1"/>
        <v>AP</v>
      </c>
      <c r="G4" s="7" t="str">
        <f t="shared" si="2"/>
        <v>TAN-A-3-AP</v>
      </c>
      <c r="H4" s="8" t="s">
        <v>293</v>
      </c>
      <c r="I4" s="18" t="s">
        <v>294</v>
      </c>
      <c r="J4" s="8" t="s">
        <v>301</v>
      </c>
      <c r="K4" s="128">
        <v>186.0</v>
      </c>
      <c r="L4" s="7">
        <v>600000.0</v>
      </c>
      <c r="M4" s="8" t="s">
        <v>296</v>
      </c>
      <c r="N4" s="131">
        <v>2.0</v>
      </c>
      <c r="O4" s="7">
        <v>2.0</v>
      </c>
      <c r="P4" s="8" t="s">
        <v>89</v>
      </c>
      <c r="Q4" s="11"/>
      <c r="R4" s="8" t="s">
        <v>297</v>
      </c>
      <c r="S4" s="8" t="s">
        <v>298</v>
      </c>
      <c r="T4" s="13"/>
      <c r="U4" s="129">
        <v>130.0</v>
      </c>
      <c r="V4" s="15"/>
      <c r="W4" s="16"/>
      <c r="X4" s="17" t="s">
        <v>84</v>
      </c>
      <c r="Y4" s="18" t="s">
        <v>86</v>
      </c>
      <c r="Z4" s="8" t="s">
        <v>87</v>
      </c>
      <c r="AA4" s="12" t="s">
        <v>88</v>
      </c>
      <c r="AB4" s="130"/>
      <c r="AC4" s="17"/>
      <c r="AD4" s="17"/>
    </row>
    <row r="5">
      <c r="A5" s="7">
        <v>1.0</v>
      </c>
      <c r="B5" s="7" t="s">
        <v>81</v>
      </c>
      <c r="C5" s="8" t="s">
        <v>82</v>
      </c>
      <c r="D5" s="7"/>
      <c r="E5" s="7" t="s">
        <v>302</v>
      </c>
      <c r="F5" s="9" t="str">
        <f t="shared" si="1"/>
        <v>FL</v>
      </c>
      <c r="G5" s="7" t="str">
        <f t="shared" si="2"/>
        <v>TAN-B-4-FL</v>
      </c>
      <c r="H5" s="8" t="s">
        <v>293</v>
      </c>
      <c r="I5" s="7" t="s">
        <v>303</v>
      </c>
      <c r="J5" s="8" t="s">
        <v>295</v>
      </c>
      <c r="K5" s="128">
        <v>258.0</v>
      </c>
      <c r="L5" s="7">
        <v>990000.0</v>
      </c>
      <c r="M5" s="8" t="s">
        <v>296</v>
      </c>
      <c r="N5" s="11">
        <v>3.0</v>
      </c>
      <c r="O5" s="7">
        <v>3.0</v>
      </c>
      <c r="P5" s="8" t="s">
        <v>89</v>
      </c>
      <c r="Q5" s="11"/>
      <c r="R5" s="8" t="s">
        <v>297</v>
      </c>
      <c r="S5" s="8" t="s">
        <v>298</v>
      </c>
      <c r="T5" s="13"/>
      <c r="U5" s="129">
        <v>194.0</v>
      </c>
      <c r="V5" s="15"/>
      <c r="W5" s="16"/>
      <c r="X5" s="17" t="s">
        <v>84</v>
      </c>
      <c r="Y5" s="18" t="s">
        <v>86</v>
      </c>
      <c r="Z5" s="8" t="s">
        <v>87</v>
      </c>
      <c r="AA5" s="12" t="s">
        <v>88</v>
      </c>
      <c r="AB5" s="130"/>
      <c r="AC5" s="17"/>
      <c r="AD5" s="17"/>
    </row>
    <row r="6">
      <c r="A6" s="7">
        <v>1.0</v>
      </c>
      <c r="B6" s="7" t="s">
        <v>81</v>
      </c>
      <c r="C6" s="8" t="s">
        <v>82</v>
      </c>
      <c r="D6" s="7"/>
      <c r="E6" s="7" t="s">
        <v>304</v>
      </c>
      <c r="F6" s="9" t="str">
        <f t="shared" si="1"/>
        <v>FL</v>
      </c>
      <c r="G6" s="7" t="str">
        <f t="shared" si="2"/>
        <v>TAN-B-5-FL</v>
      </c>
      <c r="H6" s="8" t="s">
        <v>293</v>
      </c>
      <c r="I6" s="7" t="s">
        <v>303</v>
      </c>
      <c r="J6" s="8" t="s">
        <v>295</v>
      </c>
      <c r="K6" s="128">
        <v>186.0</v>
      </c>
      <c r="L6" s="7">
        <v>800000.0</v>
      </c>
      <c r="M6" s="8" t="s">
        <v>296</v>
      </c>
      <c r="N6" s="11">
        <v>3.0</v>
      </c>
      <c r="O6" s="7">
        <v>3.0</v>
      </c>
      <c r="P6" s="8" t="s">
        <v>89</v>
      </c>
      <c r="Q6" s="11"/>
      <c r="R6" s="8" t="s">
        <v>297</v>
      </c>
      <c r="S6" s="8" t="s">
        <v>298</v>
      </c>
      <c r="T6" s="13"/>
      <c r="U6" s="129">
        <v>186.0</v>
      </c>
      <c r="V6" s="15"/>
      <c r="W6" s="16"/>
      <c r="X6" s="17" t="s">
        <v>84</v>
      </c>
      <c r="Y6" s="18" t="s">
        <v>86</v>
      </c>
      <c r="Z6" s="8" t="s">
        <v>87</v>
      </c>
      <c r="AA6" s="12" t="s">
        <v>88</v>
      </c>
      <c r="AB6" s="130"/>
      <c r="AC6" s="17"/>
      <c r="AD6" s="17"/>
    </row>
    <row r="7">
      <c r="A7" s="7">
        <v>1.0</v>
      </c>
      <c r="B7" s="7" t="s">
        <v>81</v>
      </c>
      <c r="C7" s="8" t="s">
        <v>82</v>
      </c>
      <c r="D7" s="7"/>
      <c r="E7" s="7" t="s">
        <v>305</v>
      </c>
      <c r="F7" s="9" t="str">
        <f t="shared" si="1"/>
        <v>AP</v>
      </c>
      <c r="G7" s="7" t="str">
        <f t="shared" si="2"/>
        <v>TAN-B-6-AP</v>
      </c>
      <c r="H7" s="8" t="s">
        <v>293</v>
      </c>
      <c r="I7" s="7" t="s">
        <v>303</v>
      </c>
      <c r="J7" s="8" t="s">
        <v>301</v>
      </c>
      <c r="K7" s="128">
        <v>186.0</v>
      </c>
      <c r="L7" s="7">
        <v>600000.0</v>
      </c>
      <c r="M7" s="8" t="s">
        <v>296</v>
      </c>
      <c r="N7" s="131">
        <v>2.0</v>
      </c>
      <c r="O7" s="7">
        <v>2.0</v>
      </c>
      <c r="P7" s="8" t="s">
        <v>89</v>
      </c>
      <c r="Q7" s="11"/>
      <c r="R7" s="8" t="s">
        <v>297</v>
      </c>
      <c r="S7" s="8" t="s">
        <v>298</v>
      </c>
      <c r="T7" s="13"/>
      <c r="U7" s="129">
        <v>130.0</v>
      </c>
      <c r="V7" s="15"/>
      <c r="W7" s="16"/>
      <c r="X7" s="17" t="s">
        <v>84</v>
      </c>
      <c r="Y7" s="18" t="s">
        <v>86</v>
      </c>
      <c r="Z7" s="8" t="s">
        <v>87</v>
      </c>
      <c r="AA7" s="12" t="s">
        <v>88</v>
      </c>
      <c r="AB7" s="130"/>
      <c r="AC7" s="17"/>
      <c r="AD7" s="17"/>
    </row>
    <row r="8">
      <c r="A8" s="7">
        <v>2.0</v>
      </c>
      <c r="B8" s="7" t="s">
        <v>90</v>
      </c>
      <c r="C8" s="8" t="s">
        <v>91</v>
      </c>
      <c r="D8" s="7"/>
      <c r="E8" s="7">
        <v>1.0</v>
      </c>
      <c r="F8" s="9" t="str">
        <f t="shared" si="1"/>
        <v>FL</v>
      </c>
      <c r="G8" s="7" t="str">
        <f t="shared" si="2"/>
        <v>TAR-A-1-FL</v>
      </c>
      <c r="H8" s="8" t="s">
        <v>92</v>
      </c>
      <c r="I8" s="7" t="s">
        <v>294</v>
      </c>
      <c r="J8" s="8" t="s">
        <v>295</v>
      </c>
      <c r="K8" s="131">
        <v>259.0</v>
      </c>
      <c r="L8" s="7">
        <v>990000.0</v>
      </c>
      <c r="M8" s="8" t="s">
        <v>306</v>
      </c>
      <c r="N8" s="131"/>
      <c r="O8" s="7"/>
      <c r="P8" s="8" t="s">
        <v>89</v>
      </c>
      <c r="Q8" s="11"/>
      <c r="R8" s="8" t="s">
        <v>307</v>
      </c>
      <c r="S8" s="8" t="s">
        <v>298</v>
      </c>
      <c r="T8" s="13"/>
      <c r="U8" s="132">
        <v>16539.0</v>
      </c>
      <c r="V8" s="15"/>
      <c r="W8" s="16"/>
      <c r="X8" s="17" t="s">
        <v>93</v>
      </c>
      <c r="Y8" s="18" t="s">
        <v>86</v>
      </c>
      <c r="Z8" s="8" t="s">
        <v>87</v>
      </c>
      <c r="AA8" s="12" t="s">
        <v>88</v>
      </c>
      <c r="AB8" s="130"/>
      <c r="AC8" s="17"/>
      <c r="AD8" s="17"/>
    </row>
    <row r="9">
      <c r="A9" s="7">
        <v>2.0</v>
      </c>
      <c r="B9" s="7" t="s">
        <v>90</v>
      </c>
      <c r="C9" s="8" t="s">
        <v>91</v>
      </c>
      <c r="D9" s="7"/>
      <c r="E9" s="7">
        <v>2.0</v>
      </c>
      <c r="F9" s="9" t="str">
        <f t="shared" si="1"/>
        <v>FL</v>
      </c>
      <c r="G9" s="7" t="str">
        <f t="shared" si="2"/>
        <v>TAR-A-2-FL</v>
      </c>
      <c r="H9" s="8" t="s">
        <v>92</v>
      </c>
      <c r="I9" s="7" t="s">
        <v>294</v>
      </c>
      <c r="J9" s="8" t="s">
        <v>295</v>
      </c>
      <c r="K9" s="131">
        <v>222.0</v>
      </c>
      <c r="L9" s="7">
        <v>829000.0</v>
      </c>
      <c r="M9" s="8" t="s">
        <v>296</v>
      </c>
      <c r="N9" s="131"/>
      <c r="O9" s="7"/>
      <c r="P9" s="8" t="s">
        <v>89</v>
      </c>
      <c r="Q9" s="11"/>
      <c r="R9" s="8" t="s">
        <v>307</v>
      </c>
      <c r="S9" s="8" t="s">
        <v>308</v>
      </c>
      <c r="T9" s="13"/>
      <c r="U9" s="132">
        <v>15956.0</v>
      </c>
      <c r="V9" s="15"/>
      <c r="W9" s="16"/>
      <c r="X9" s="17" t="s">
        <v>93</v>
      </c>
      <c r="Y9" s="18" t="s">
        <v>86</v>
      </c>
      <c r="Z9" s="8" t="s">
        <v>87</v>
      </c>
      <c r="AA9" s="12" t="s">
        <v>88</v>
      </c>
      <c r="AB9" s="130"/>
      <c r="AC9" s="17"/>
      <c r="AD9" s="17"/>
    </row>
    <row r="10">
      <c r="A10" s="7">
        <v>2.0</v>
      </c>
      <c r="B10" s="7" t="s">
        <v>90</v>
      </c>
      <c r="C10" s="8" t="s">
        <v>91</v>
      </c>
      <c r="D10" s="7"/>
      <c r="E10" s="7">
        <v>3.0</v>
      </c>
      <c r="F10" s="9" t="str">
        <f t="shared" si="1"/>
        <v>AP</v>
      </c>
      <c r="G10" s="7" t="str">
        <f t="shared" si="2"/>
        <v>TAR-A-3-AP</v>
      </c>
      <c r="H10" s="8" t="s">
        <v>92</v>
      </c>
      <c r="I10" s="7" t="s">
        <v>294</v>
      </c>
      <c r="J10" s="8" t="s">
        <v>301</v>
      </c>
      <c r="K10" s="131">
        <v>203.0</v>
      </c>
      <c r="L10" s="7">
        <v>750000.0</v>
      </c>
      <c r="M10" s="8" t="s">
        <v>306</v>
      </c>
      <c r="N10" s="131"/>
      <c r="O10" s="7"/>
      <c r="P10" s="8" t="s">
        <v>89</v>
      </c>
      <c r="Q10" s="11"/>
      <c r="R10" s="8" t="s">
        <v>307</v>
      </c>
      <c r="S10" s="8"/>
      <c r="T10" s="13"/>
      <c r="U10" s="132">
        <v>15957.0</v>
      </c>
      <c r="V10" s="15"/>
      <c r="W10" s="16"/>
      <c r="X10" s="17" t="s">
        <v>93</v>
      </c>
      <c r="Y10" s="18" t="s">
        <v>86</v>
      </c>
      <c r="Z10" s="8" t="s">
        <v>87</v>
      </c>
      <c r="AA10" s="12" t="s">
        <v>88</v>
      </c>
      <c r="AB10" s="130"/>
      <c r="AC10" s="17"/>
      <c r="AD10" s="17"/>
    </row>
    <row r="11">
      <c r="A11" s="7">
        <v>2.0</v>
      </c>
      <c r="B11" s="7" t="s">
        <v>90</v>
      </c>
      <c r="C11" s="8" t="s">
        <v>91</v>
      </c>
      <c r="D11" s="7"/>
      <c r="E11" s="7">
        <v>4.0</v>
      </c>
      <c r="F11" s="9" t="str">
        <f t="shared" si="1"/>
        <v>FL</v>
      </c>
      <c r="G11" s="7" t="str">
        <f t="shared" si="2"/>
        <v>TAR-B-4-FL</v>
      </c>
      <c r="H11" s="8" t="s">
        <v>92</v>
      </c>
      <c r="I11" s="7" t="s">
        <v>303</v>
      </c>
      <c r="J11" s="8" t="s">
        <v>295</v>
      </c>
      <c r="K11" s="131">
        <v>259.0</v>
      </c>
      <c r="L11" s="7">
        <v>990000.0</v>
      </c>
      <c r="M11" s="8" t="s">
        <v>296</v>
      </c>
      <c r="N11" s="131"/>
      <c r="O11" s="7"/>
      <c r="P11" s="8" t="s">
        <v>89</v>
      </c>
      <c r="Q11" s="11"/>
      <c r="R11" s="8" t="s">
        <v>307</v>
      </c>
      <c r="S11" s="8" t="s">
        <v>298</v>
      </c>
      <c r="T11" s="13"/>
      <c r="U11" s="132">
        <v>16539.0</v>
      </c>
      <c r="V11" s="15"/>
      <c r="W11" s="16"/>
      <c r="X11" s="17" t="s">
        <v>93</v>
      </c>
      <c r="Y11" s="18" t="s">
        <v>86</v>
      </c>
      <c r="Z11" s="8" t="s">
        <v>87</v>
      </c>
      <c r="AA11" s="12" t="s">
        <v>88</v>
      </c>
      <c r="AB11" s="130"/>
      <c r="AC11" s="17"/>
      <c r="AD11" s="17"/>
    </row>
    <row r="12">
      <c r="A12" s="7">
        <v>2.0</v>
      </c>
      <c r="B12" s="7" t="s">
        <v>90</v>
      </c>
      <c r="C12" s="8" t="s">
        <v>91</v>
      </c>
      <c r="D12" s="7"/>
      <c r="E12" s="7">
        <v>5.0</v>
      </c>
      <c r="F12" s="9" t="str">
        <f t="shared" si="1"/>
        <v>FL</v>
      </c>
      <c r="G12" s="7" t="str">
        <f t="shared" si="2"/>
        <v>TAR-B-5-FL</v>
      </c>
      <c r="H12" s="8" t="s">
        <v>92</v>
      </c>
      <c r="I12" s="7" t="s">
        <v>303</v>
      </c>
      <c r="J12" s="8" t="s">
        <v>295</v>
      </c>
      <c r="K12" s="131">
        <v>222.0</v>
      </c>
      <c r="L12" s="7">
        <v>829000.0</v>
      </c>
      <c r="M12" s="8" t="s">
        <v>296</v>
      </c>
      <c r="N12" s="131"/>
      <c r="O12" s="7"/>
      <c r="P12" s="8" t="s">
        <v>89</v>
      </c>
      <c r="Q12" s="11"/>
      <c r="R12" s="8" t="s">
        <v>307</v>
      </c>
      <c r="S12" s="8" t="s">
        <v>308</v>
      </c>
      <c r="T12" s="13"/>
      <c r="U12" s="132">
        <v>15956.0</v>
      </c>
      <c r="V12" s="15"/>
      <c r="W12" s="16"/>
      <c r="X12" s="17" t="s">
        <v>93</v>
      </c>
      <c r="Y12" s="18" t="s">
        <v>86</v>
      </c>
      <c r="Z12" s="8" t="s">
        <v>87</v>
      </c>
      <c r="AA12" s="12" t="s">
        <v>88</v>
      </c>
      <c r="AB12" s="130"/>
      <c r="AC12" s="17"/>
      <c r="AD12" s="17"/>
    </row>
    <row r="13">
      <c r="A13" s="7">
        <v>2.0</v>
      </c>
      <c r="B13" s="7" t="s">
        <v>90</v>
      </c>
      <c r="C13" s="8" t="s">
        <v>91</v>
      </c>
      <c r="D13" s="7"/>
      <c r="E13" s="7">
        <v>6.0</v>
      </c>
      <c r="F13" s="9" t="str">
        <f t="shared" si="1"/>
        <v>AP</v>
      </c>
      <c r="G13" s="7" t="str">
        <f t="shared" si="2"/>
        <v>TAR-B-6-AP</v>
      </c>
      <c r="H13" s="8" t="s">
        <v>92</v>
      </c>
      <c r="I13" s="7" t="s">
        <v>303</v>
      </c>
      <c r="J13" s="8" t="s">
        <v>301</v>
      </c>
      <c r="K13" s="131">
        <v>203.0</v>
      </c>
      <c r="L13" s="7">
        <v>750000.0</v>
      </c>
      <c r="M13" s="8" t="s">
        <v>306</v>
      </c>
      <c r="N13" s="131"/>
      <c r="O13" s="7"/>
      <c r="P13" s="8" t="s">
        <v>89</v>
      </c>
      <c r="Q13" s="11"/>
      <c r="R13" s="8" t="s">
        <v>307</v>
      </c>
      <c r="S13" s="8"/>
      <c r="T13" s="13"/>
      <c r="U13" s="132">
        <v>6998.0</v>
      </c>
      <c r="V13" s="15"/>
      <c r="W13" s="16"/>
      <c r="X13" s="17" t="s">
        <v>93</v>
      </c>
      <c r="Y13" s="18" t="s">
        <v>86</v>
      </c>
      <c r="Z13" s="8" t="s">
        <v>87</v>
      </c>
      <c r="AA13" s="12" t="s">
        <v>88</v>
      </c>
      <c r="AB13" s="130"/>
      <c r="AC13" s="17"/>
      <c r="AD13" s="17"/>
    </row>
    <row r="14">
      <c r="A14" s="7">
        <v>3.0</v>
      </c>
      <c r="B14" s="7" t="s">
        <v>94</v>
      </c>
      <c r="C14" s="8" t="s">
        <v>309</v>
      </c>
      <c r="D14" s="7"/>
      <c r="E14" s="7">
        <v>1.0</v>
      </c>
      <c r="F14" s="9" t="str">
        <f t="shared" si="1"/>
        <v>FL</v>
      </c>
      <c r="G14" s="7" t="str">
        <f t="shared" si="2"/>
        <v>SAH-A-1-FL</v>
      </c>
      <c r="H14" s="8" t="s">
        <v>96</v>
      </c>
      <c r="I14" s="7" t="s">
        <v>294</v>
      </c>
      <c r="J14" s="8" t="s">
        <v>295</v>
      </c>
      <c r="K14" s="11">
        <v>214.0</v>
      </c>
      <c r="L14" s="7">
        <v>1640000.0</v>
      </c>
      <c r="M14" s="8" t="s">
        <v>296</v>
      </c>
      <c r="N14" s="131">
        <v>3.0</v>
      </c>
      <c r="O14" s="7">
        <v>5.0</v>
      </c>
      <c r="P14" s="8" t="s">
        <v>89</v>
      </c>
      <c r="Q14" s="11"/>
      <c r="R14" s="8" t="s">
        <v>297</v>
      </c>
      <c r="S14" s="8" t="s">
        <v>298</v>
      </c>
      <c r="T14" s="13"/>
      <c r="U14" s="132" t="s">
        <v>310</v>
      </c>
      <c r="V14" s="15"/>
      <c r="W14" s="16"/>
      <c r="X14" s="133" t="s">
        <v>97</v>
      </c>
      <c r="Y14" s="18" t="s">
        <v>86</v>
      </c>
      <c r="Z14" s="8" t="s">
        <v>87</v>
      </c>
      <c r="AA14" s="12" t="s">
        <v>99</v>
      </c>
      <c r="AB14" s="130"/>
      <c r="AC14" s="133" t="s">
        <v>311</v>
      </c>
      <c r="AD14" s="134"/>
    </row>
    <row r="15">
      <c r="A15" s="7">
        <v>3.0</v>
      </c>
      <c r="B15" s="7" t="s">
        <v>94</v>
      </c>
      <c r="C15" s="8" t="s">
        <v>309</v>
      </c>
      <c r="D15" s="7"/>
      <c r="E15" s="7">
        <v>2.0</v>
      </c>
      <c r="F15" s="9" t="str">
        <f t="shared" si="1"/>
        <v>FL</v>
      </c>
      <c r="G15" s="7" t="str">
        <f t="shared" si="2"/>
        <v>SAH-A-2-FL</v>
      </c>
      <c r="H15" s="8" t="s">
        <v>96</v>
      </c>
      <c r="I15" s="7" t="s">
        <v>294</v>
      </c>
      <c r="J15" s="8" t="s">
        <v>295</v>
      </c>
      <c r="K15" s="11">
        <v>197.0</v>
      </c>
      <c r="L15" s="7">
        <v>1390000.0</v>
      </c>
      <c r="M15" s="8" t="s">
        <v>296</v>
      </c>
      <c r="N15" s="131">
        <v>4.0</v>
      </c>
      <c r="O15" s="7">
        <v>4.0</v>
      </c>
      <c r="P15" s="8" t="s">
        <v>89</v>
      </c>
      <c r="Q15" s="11"/>
      <c r="R15" s="8" t="s">
        <v>297</v>
      </c>
      <c r="S15" s="8" t="s">
        <v>308</v>
      </c>
      <c r="T15" s="13"/>
      <c r="U15" s="132" t="s">
        <v>310</v>
      </c>
      <c r="V15" s="15"/>
      <c r="W15" s="16"/>
      <c r="X15" s="133" t="s">
        <v>97</v>
      </c>
      <c r="Y15" s="18" t="s">
        <v>86</v>
      </c>
      <c r="Z15" s="8" t="s">
        <v>87</v>
      </c>
      <c r="AA15" s="12" t="s">
        <v>99</v>
      </c>
      <c r="AB15" s="130"/>
      <c r="AC15" s="133" t="s">
        <v>311</v>
      </c>
      <c r="AD15" s="134"/>
    </row>
    <row r="16">
      <c r="A16" s="7">
        <v>3.0</v>
      </c>
      <c r="B16" s="7" t="s">
        <v>94</v>
      </c>
      <c r="C16" s="8" t="s">
        <v>309</v>
      </c>
      <c r="D16" s="7"/>
      <c r="E16" s="7">
        <v>3.0</v>
      </c>
      <c r="F16" s="9" t="str">
        <f t="shared" si="1"/>
        <v>AP</v>
      </c>
      <c r="G16" s="7" t="str">
        <f t="shared" si="2"/>
        <v>SAH-A-3-AP</v>
      </c>
      <c r="H16" s="8" t="s">
        <v>96</v>
      </c>
      <c r="I16" s="7" t="s">
        <v>294</v>
      </c>
      <c r="J16" s="8" t="s">
        <v>301</v>
      </c>
      <c r="K16" s="11">
        <v>142.0</v>
      </c>
      <c r="L16" s="7">
        <v>1230000.0</v>
      </c>
      <c r="M16" s="8" t="s">
        <v>296</v>
      </c>
      <c r="N16" s="131">
        <v>3.0</v>
      </c>
      <c r="O16" s="7">
        <v>3.0</v>
      </c>
      <c r="P16" s="8" t="s">
        <v>89</v>
      </c>
      <c r="Q16" s="11"/>
      <c r="R16" s="8" t="s">
        <v>297</v>
      </c>
      <c r="S16" s="8"/>
      <c r="T16" s="13"/>
      <c r="U16" s="132" t="s">
        <v>310</v>
      </c>
      <c r="V16" s="15"/>
      <c r="W16" s="16"/>
      <c r="X16" s="133" t="s">
        <v>97</v>
      </c>
      <c r="Y16" s="18" t="s">
        <v>86</v>
      </c>
      <c r="Z16" s="8" t="s">
        <v>87</v>
      </c>
      <c r="AA16" s="12" t="s">
        <v>99</v>
      </c>
      <c r="AB16" s="130"/>
      <c r="AC16" s="133" t="s">
        <v>311</v>
      </c>
      <c r="AD16" s="134"/>
    </row>
    <row r="17">
      <c r="A17" s="7">
        <v>3.0</v>
      </c>
      <c r="B17" s="7" t="s">
        <v>94</v>
      </c>
      <c r="C17" s="8" t="s">
        <v>309</v>
      </c>
      <c r="D17" s="7"/>
      <c r="E17" s="7">
        <v>4.0</v>
      </c>
      <c r="F17" s="9" t="str">
        <f t="shared" si="1"/>
        <v>FL</v>
      </c>
      <c r="G17" s="7" t="str">
        <f t="shared" si="2"/>
        <v>SAH-B-4-FL</v>
      </c>
      <c r="H17" s="8" t="s">
        <v>96</v>
      </c>
      <c r="I17" s="7" t="s">
        <v>303</v>
      </c>
      <c r="J17" s="8" t="s">
        <v>295</v>
      </c>
      <c r="K17" s="11">
        <v>214.0</v>
      </c>
      <c r="L17" s="7">
        <v>1640000.0</v>
      </c>
      <c r="M17" s="8" t="s">
        <v>306</v>
      </c>
      <c r="N17" s="131">
        <v>3.0</v>
      </c>
      <c r="O17" s="7">
        <v>5.0</v>
      </c>
      <c r="P17" s="8" t="s">
        <v>89</v>
      </c>
      <c r="Q17" s="11"/>
      <c r="R17" s="8" t="s">
        <v>297</v>
      </c>
      <c r="S17" s="8" t="s">
        <v>298</v>
      </c>
      <c r="T17" s="13"/>
      <c r="U17" s="135"/>
      <c r="V17" s="15"/>
      <c r="W17" s="16"/>
      <c r="X17" s="133" t="s">
        <v>97</v>
      </c>
      <c r="Y17" s="18" t="s">
        <v>86</v>
      </c>
      <c r="Z17" s="8" t="s">
        <v>87</v>
      </c>
      <c r="AA17" s="12" t="s">
        <v>99</v>
      </c>
      <c r="AB17" s="130"/>
      <c r="AC17" s="133" t="s">
        <v>311</v>
      </c>
      <c r="AD17" s="134"/>
    </row>
    <row r="18">
      <c r="A18" s="7">
        <v>3.0</v>
      </c>
      <c r="B18" s="7" t="s">
        <v>94</v>
      </c>
      <c r="C18" s="8" t="s">
        <v>309</v>
      </c>
      <c r="D18" s="7"/>
      <c r="E18" s="7">
        <v>5.0</v>
      </c>
      <c r="F18" s="9" t="str">
        <f t="shared" si="1"/>
        <v>FL</v>
      </c>
      <c r="G18" s="7" t="str">
        <f t="shared" si="2"/>
        <v>SAH-B-5-FL</v>
      </c>
      <c r="H18" s="8" t="s">
        <v>96</v>
      </c>
      <c r="I18" s="7" t="s">
        <v>303</v>
      </c>
      <c r="J18" s="8" t="s">
        <v>295</v>
      </c>
      <c r="K18" s="11">
        <v>197.0</v>
      </c>
      <c r="L18" s="7">
        <v>1390000.0</v>
      </c>
      <c r="M18" s="8" t="s">
        <v>312</v>
      </c>
      <c r="N18" s="131">
        <v>4.0</v>
      </c>
      <c r="O18" s="7">
        <v>4.0</v>
      </c>
      <c r="P18" s="8" t="s">
        <v>89</v>
      </c>
      <c r="Q18" s="11"/>
      <c r="R18" s="8" t="s">
        <v>297</v>
      </c>
      <c r="S18" s="8" t="s">
        <v>308</v>
      </c>
      <c r="T18" s="13"/>
      <c r="U18" s="135"/>
      <c r="V18" s="15"/>
      <c r="W18" s="16"/>
      <c r="X18" s="133" t="s">
        <v>97</v>
      </c>
      <c r="Y18" s="18" t="s">
        <v>86</v>
      </c>
      <c r="Z18" s="8" t="s">
        <v>87</v>
      </c>
      <c r="AA18" s="12" t="s">
        <v>99</v>
      </c>
      <c r="AB18" s="130"/>
      <c r="AC18" s="133" t="s">
        <v>311</v>
      </c>
      <c r="AD18" s="134"/>
    </row>
    <row r="19">
      <c r="A19" s="7">
        <v>3.0</v>
      </c>
      <c r="B19" s="7" t="s">
        <v>94</v>
      </c>
      <c r="C19" s="8" t="s">
        <v>309</v>
      </c>
      <c r="D19" s="7"/>
      <c r="E19" s="7">
        <v>6.0</v>
      </c>
      <c r="F19" s="9" t="str">
        <f t="shared" si="1"/>
        <v>AP</v>
      </c>
      <c r="G19" s="7" t="str">
        <f t="shared" si="2"/>
        <v>SAH-B-6-AP</v>
      </c>
      <c r="H19" s="8" t="s">
        <v>96</v>
      </c>
      <c r="I19" s="7" t="s">
        <v>303</v>
      </c>
      <c r="J19" s="8" t="s">
        <v>301</v>
      </c>
      <c r="K19" s="11">
        <v>142.0</v>
      </c>
      <c r="L19" s="7">
        <v>1230000.0</v>
      </c>
      <c r="M19" s="8" t="s">
        <v>296</v>
      </c>
      <c r="N19" s="131">
        <v>3.0</v>
      </c>
      <c r="O19" s="7">
        <v>3.0</v>
      </c>
      <c r="P19" s="8" t="s">
        <v>89</v>
      </c>
      <c r="Q19" s="11"/>
      <c r="R19" s="8" t="s">
        <v>297</v>
      </c>
      <c r="S19" s="8"/>
      <c r="T19" s="13"/>
      <c r="U19" s="135"/>
      <c r="V19" s="15"/>
      <c r="W19" s="16"/>
      <c r="X19" s="133" t="s">
        <v>97</v>
      </c>
      <c r="Y19" s="18" t="s">
        <v>86</v>
      </c>
      <c r="Z19" s="8" t="s">
        <v>87</v>
      </c>
      <c r="AA19" s="12" t="s">
        <v>99</v>
      </c>
      <c r="AB19" s="130"/>
      <c r="AC19" s="133" t="s">
        <v>311</v>
      </c>
      <c r="AD19" s="134"/>
    </row>
    <row r="20">
      <c r="A20" s="7">
        <v>4.0</v>
      </c>
      <c r="B20" s="7" t="s">
        <v>101</v>
      </c>
      <c r="C20" s="8" t="s">
        <v>102</v>
      </c>
      <c r="D20" s="7"/>
      <c r="E20" s="7">
        <v>1.0</v>
      </c>
      <c r="F20" s="9" t="str">
        <f t="shared" si="1"/>
        <v>VI</v>
      </c>
      <c r="G20" s="7" t="str">
        <f t="shared" si="2"/>
        <v>DUR-A-1-VI</v>
      </c>
      <c r="H20" s="8" t="s">
        <v>102</v>
      </c>
      <c r="I20" s="7" t="s">
        <v>294</v>
      </c>
      <c r="J20" s="8" t="s">
        <v>313</v>
      </c>
      <c r="K20" s="136">
        <v>249.0</v>
      </c>
      <c r="L20" s="7">
        <v>1580000.0</v>
      </c>
      <c r="M20" s="8" t="s">
        <v>312</v>
      </c>
      <c r="N20" s="131">
        <v>4.0</v>
      </c>
      <c r="O20" s="7">
        <v>5.0</v>
      </c>
      <c r="P20" s="8" t="s">
        <v>89</v>
      </c>
      <c r="Q20" s="11"/>
      <c r="R20" s="8" t="s">
        <v>314</v>
      </c>
      <c r="S20" s="8"/>
      <c r="T20" s="13"/>
      <c r="U20" s="135"/>
      <c r="V20" s="15"/>
      <c r="W20" s="16"/>
      <c r="X20" s="133" t="s">
        <v>103</v>
      </c>
      <c r="Y20" s="18" t="s">
        <v>86</v>
      </c>
      <c r="Z20" s="8" t="s">
        <v>87</v>
      </c>
      <c r="AA20" s="12" t="s">
        <v>104</v>
      </c>
      <c r="AB20" s="130"/>
      <c r="AC20" s="133" t="s">
        <v>315</v>
      </c>
      <c r="AD20" s="134"/>
    </row>
    <row r="21">
      <c r="A21" s="7">
        <v>4.0</v>
      </c>
      <c r="B21" s="7" t="s">
        <v>101</v>
      </c>
      <c r="C21" s="8" t="s">
        <v>102</v>
      </c>
      <c r="D21" s="7"/>
      <c r="E21" s="7">
        <v>2.0</v>
      </c>
      <c r="F21" s="9" t="str">
        <f t="shared" si="1"/>
        <v>VI</v>
      </c>
      <c r="G21" s="7" t="str">
        <f t="shared" si="2"/>
        <v>DUR-A-2-VI</v>
      </c>
      <c r="H21" s="8" t="s">
        <v>102</v>
      </c>
      <c r="I21" s="7" t="s">
        <v>294</v>
      </c>
      <c r="J21" s="8" t="s">
        <v>313</v>
      </c>
      <c r="K21" s="136">
        <v>249.0</v>
      </c>
      <c r="L21" s="7">
        <v>1610000.0</v>
      </c>
      <c r="M21" s="8" t="s">
        <v>306</v>
      </c>
      <c r="N21" s="131">
        <v>4.0</v>
      </c>
      <c r="O21" s="7">
        <v>5.0</v>
      </c>
      <c r="P21" s="8" t="s">
        <v>89</v>
      </c>
      <c r="Q21" s="11"/>
      <c r="R21" s="8" t="s">
        <v>314</v>
      </c>
      <c r="S21" s="8"/>
      <c r="T21" s="13"/>
      <c r="U21" s="135"/>
      <c r="V21" s="15"/>
      <c r="W21" s="16"/>
      <c r="X21" s="133" t="s">
        <v>103</v>
      </c>
      <c r="Y21" s="18" t="s">
        <v>86</v>
      </c>
      <c r="Z21" s="8" t="s">
        <v>87</v>
      </c>
      <c r="AA21" s="12" t="s">
        <v>104</v>
      </c>
      <c r="AB21" s="130"/>
      <c r="AC21" s="133" t="s">
        <v>315</v>
      </c>
      <c r="AD21" s="134"/>
    </row>
    <row r="22">
      <c r="A22" s="7">
        <v>4.0</v>
      </c>
      <c r="B22" s="7" t="s">
        <v>101</v>
      </c>
      <c r="C22" s="8" t="s">
        <v>102</v>
      </c>
      <c r="D22" s="7"/>
      <c r="E22" s="7">
        <v>3.0</v>
      </c>
      <c r="F22" s="9" t="str">
        <f t="shared" si="1"/>
        <v>VI</v>
      </c>
      <c r="G22" s="7" t="str">
        <f t="shared" si="2"/>
        <v>DUR-A-3-VI</v>
      </c>
      <c r="H22" s="8" t="s">
        <v>102</v>
      </c>
      <c r="I22" s="7" t="s">
        <v>294</v>
      </c>
      <c r="J22" s="8" t="s">
        <v>313</v>
      </c>
      <c r="K22" s="136">
        <v>249.0</v>
      </c>
      <c r="L22" s="7">
        <v>1610000.0</v>
      </c>
      <c r="M22" s="8" t="s">
        <v>296</v>
      </c>
      <c r="N22" s="131">
        <v>4.0</v>
      </c>
      <c r="O22" s="7">
        <v>5.0</v>
      </c>
      <c r="P22" s="8" t="s">
        <v>89</v>
      </c>
      <c r="Q22" s="11"/>
      <c r="R22" s="8" t="s">
        <v>314</v>
      </c>
      <c r="S22" s="8"/>
      <c r="T22" s="13"/>
      <c r="U22" s="135"/>
      <c r="V22" s="15"/>
      <c r="W22" s="16"/>
      <c r="X22" s="133" t="s">
        <v>103</v>
      </c>
      <c r="Y22" s="18" t="s">
        <v>86</v>
      </c>
      <c r="Z22" s="8" t="s">
        <v>87</v>
      </c>
      <c r="AA22" s="12" t="s">
        <v>104</v>
      </c>
      <c r="AB22" s="130"/>
      <c r="AC22" s="133" t="s">
        <v>315</v>
      </c>
      <c r="AD22" s="134"/>
    </row>
    <row r="23">
      <c r="A23" s="7">
        <v>4.0</v>
      </c>
      <c r="B23" s="7" t="s">
        <v>101</v>
      </c>
      <c r="C23" s="8" t="s">
        <v>102</v>
      </c>
      <c r="D23" s="7"/>
      <c r="E23" s="7">
        <v>4.0</v>
      </c>
      <c r="F23" s="9" t="str">
        <f t="shared" si="1"/>
        <v>VI</v>
      </c>
      <c r="G23" s="7" t="str">
        <f t="shared" si="2"/>
        <v>DUR-A-4-VI</v>
      </c>
      <c r="H23" s="8" t="s">
        <v>102</v>
      </c>
      <c r="I23" s="7" t="s">
        <v>294</v>
      </c>
      <c r="J23" s="8" t="s">
        <v>313</v>
      </c>
      <c r="K23" s="136">
        <v>249.0</v>
      </c>
      <c r="L23" s="7">
        <v>1610000.0</v>
      </c>
      <c r="M23" s="8" t="s">
        <v>296</v>
      </c>
      <c r="N23" s="131">
        <v>4.0</v>
      </c>
      <c r="O23" s="7">
        <v>5.0</v>
      </c>
      <c r="P23" s="8" t="s">
        <v>89</v>
      </c>
      <c r="Q23" s="11"/>
      <c r="R23" s="8" t="s">
        <v>314</v>
      </c>
      <c r="S23" s="8"/>
      <c r="T23" s="13"/>
      <c r="U23" s="135"/>
      <c r="V23" s="15"/>
      <c r="W23" s="16"/>
      <c r="X23" s="133" t="s">
        <v>103</v>
      </c>
      <c r="Y23" s="18" t="s">
        <v>86</v>
      </c>
      <c r="Z23" s="8" t="s">
        <v>87</v>
      </c>
      <c r="AA23" s="12" t="s">
        <v>104</v>
      </c>
      <c r="AB23" s="130"/>
      <c r="AC23" s="133" t="s">
        <v>315</v>
      </c>
      <c r="AD23" s="134"/>
    </row>
    <row r="24">
      <c r="A24" s="7">
        <v>4.0</v>
      </c>
      <c r="B24" s="7" t="s">
        <v>101</v>
      </c>
      <c r="C24" s="8" t="s">
        <v>102</v>
      </c>
      <c r="D24" s="7"/>
      <c r="E24" s="7">
        <v>9.0</v>
      </c>
      <c r="F24" s="9" t="str">
        <f t="shared" si="1"/>
        <v>VI</v>
      </c>
      <c r="G24" s="7" t="str">
        <f t="shared" si="2"/>
        <v>DUR-A-9-VI</v>
      </c>
      <c r="H24" s="8" t="s">
        <v>102</v>
      </c>
      <c r="I24" s="7" t="s">
        <v>294</v>
      </c>
      <c r="J24" s="8" t="s">
        <v>313</v>
      </c>
      <c r="K24" s="136">
        <v>249.0</v>
      </c>
      <c r="L24" s="7">
        <v>1610000.0</v>
      </c>
      <c r="M24" s="8" t="s">
        <v>312</v>
      </c>
      <c r="N24" s="131">
        <v>4.0</v>
      </c>
      <c r="O24" s="7">
        <v>5.0</v>
      </c>
      <c r="P24" s="8" t="s">
        <v>89</v>
      </c>
      <c r="Q24" s="11"/>
      <c r="R24" s="8" t="s">
        <v>314</v>
      </c>
      <c r="S24" s="8"/>
      <c r="T24" s="13"/>
      <c r="U24" s="135"/>
      <c r="V24" s="15"/>
      <c r="W24" s="16"/>
      <c r="X24" s="133" t="s">
        <v>103</v>
      </c>
      <c r="Y24" s="18" t="s">
        <v>86</v>
      </c>
      <c r="Z24" s="8" t="s">
        <v>87</v>
      </c>
      <c r="AA24" s="12" t="s">
        <v>104</v>
      </c>
      <c r="AB24" s="130"/>
      <c r="AC24" s="133" t="s">
        <v>315</v>
      </c>
      <c r="AD24" s="134"/>
    </row>
    <row r="25">
      <c r="A25" s="7">
        <v>4.0</v>
      </c>
      <c r="B25" s="7" t="s">
        <v>101</v>
      </c>
      <c r="C25" s="8" t="s">
        <v>102</v>
      </c>
      <c r="D25" s="7"/>
      <c r="E25" s="7">
        <v>10.0</v>
      </c>
      <c r="F25" s="9" t="str">
        <f t="shared" si="1"/>
        <v>VI</v>
      </c>
      <c r="G25" s="7" t="str">
        <f t="shared" si="2"/>
        <v>DUR-A-10-VI</v>
      </c>
      <c r="H25" s="8" t="s">
        <v>102</v>
      </c>
      <c r="I25" s="7" t="s">
        <v>294</v>
      </c>
      <c r="J25" s="8" t="s">
        <v>313</v>
      </c>
      <c r="K25" s="136">
        <v>249.0</v>
      </c>
      <c r="L25" s="7">
        <v>1610000.0</v>
      </c>
      <c r="M25" s="8" t="s">
        <v>296</v>
      </c>
      <c r="N25" s="131">
        <v>4.0</v>
      </c>
      <c r="O25" s="7">
        <v>5.0</v>
      </c>
      <c r="P25" s="8" t="s">
        <v>89</v>
      </c>
      <c r="Q25" s="11"/>
      <c r="R25" s="8" t="s">
        <v>314</v>
      </c>
      <c r="S25" s="8"/>
      <c r="T25" s="13"/>
      <c r="U25" s="135"/>
      <c r="V25" s="15"/>
      <c r="W25" s="16"/>
      <c r="X25" s="133" t="s">
        <v>103</v>
      </c>
      <c r="Y25" s="18" t="s">
        <v>86</v>
      </c>
      <c r="Z25" s="8" t="s">
        <v>87</v>
      </c>
      <c r="AA25" s="12" t="s">
        <v>104</v>
      </c>
      <c r="AB25" s="130"/>
      <c r="AC25" s="133" t="s">
        <v>315</v>
      </c>
      <c r="AD25" s="134"/>
    </row>
    <row r="26">
      <c r="A26" s="7">
        <v>4.0</v>
      </c>
      <c r="B26" s="7" t="s">
        <v>101</v>
      </c>
      <c r="C26" s="8" t="s">
        <v>102</v>
      </c>
      <c r="D26" s="7"/>
      <c r="E26" s="7">
        <v>11.0</v>
      </c>
      <c r="F26" s="9" t="str">
        <f t="shared" si="1"/>
        <v>VI</v>
      </c>
      <c r="G26" s="7" t="str">
        <f t="shared" si="2"/>
        <v>DUR-A-11-VI</v>
      </c>
      <c r="H26" s="8" t="s">
        <v>102</v>
      </c>
      <c r="I26" s="7" t="s">
        <v>294</v>
      </c>
      <c r="J26" s="8" t="s">
        <v>313</v>
      </c>
      <c r="K26" s="136">
        <v>249.0</v>
      </c>
      <c r="L26" s="7">
        <v>1610000.0</v>
      </c>
      <c r="M26" s="8" t="s">
        <v>296</v>
      </c>
      <c r="N26" s="131">
        <v>4.0</v>
      </c>
      <c r="O26" s="7">
        <v>5.0</v>
      </c>
      <c r="P26" s="8" t="s">
        <v>89</v>
      </c>
      <c r="Q26" s="11"/>
      <c r="R26" s="8" t="s">
        <v>314</v>
      </c>
      <c r="S26" s="8"/>
      <c r="T26" s="13"/>
      <c r="U26" s="135"/>
      <c r="V26" s="15"/>
      <c r="W26" s="16"/>
      <c r="X26" s="133" t="s">
        <v>103</v>
      </c>
      <c r="Y26" s="18" t="s">
        <v>86</v>
      </c>
      <c r="Z26" s="8" t="s">
        <v>87</v>
      </c>
      <c r="AA26" s="12" t="s">
        <v>104</v>
      </c>
      <c r="AB26" s="130"/>
      <c r="AC26" s="133" t="s">
        <v>315</v>
      </c>
      <c r="AD26" s="134"/>
    </row>
    <row r="27">
      <c r="A27" s="7">
        <v>4.0</v>
      </c>
      <c r="B27" s="7" t="s">
        <v>101</v>
      </c>
      <c r="C27" s="8" t="s">
        <v>102</v>
      </c>
      <c r="D27" s="7"/>
      <c r="E27" s="7">
        <v>12.0</v>
      </c>
      <c r="F27" s="9" t="str">
        <f t="shared" si="1"/>
        <v>VI</v>
      </c>
      <c r="G27" s="7" t="str">
        <f t="shared" si="2"/>
        <v>DUR-A-12-VI</v>
      </c>
      <c r="H27" s="8" t="s">
        <v>102</v>
      </c>
      <c r="I27" s="7" t="s">
        <v>294</v>
      </c>
      <c r="J27" s="8" t="s">
        <v>313</v>
      </c>
      <c r="K27" s="136">
        <v>249.0</v>
      </c>
      <c r="L27" s="7">
        <v>1610000.0</v>
      </c>
      <c r="M27" s="8" t="s">
        <v>306</v>
      </c>
      <c r="N27" s="131">
        <v>4.0</v>
      </c>
      <c r="O27" s="7">
        <v>5.0</v>
      </c>
      <c r="P27" s="8" t="s">
        <v>89</v>
      </c>
      <c r="Q27" s="11"/>
      <c r="R27" s="8" t="s">
        <v>314</v>
      </c>
      <c r="S27" s="8"/>
      <c r="T27" s="13"/>
      <c r="U27" s="135"/>
      <c r="V27" s="15"/>
      <c r="W27" s="16"/>
      <c r="X27" s="133" t="s">
        <v>103</v>
      </c>
      <c r="Y27" s="18" t="s">
        <v>86</v>
      </c>
      <c r="Z27" s="8" t="s">
        <v>87</v>
      </c>
      <c r="AA27" s="12" t="s">
        <v>104</v>
      </c>
      <c r="AB27" s="130"/>
      <c r="AC27" s="133" t="s">
        <v>315</v>
      </c>
      <c r="AD27" s="134"/>
    </row>
    <row r="28">
      <c r="A28" s="7">
        <v>4.0</v>
      </c>
      <c r="B28" s="7" t="s">
        <v>101</v>
      </c>
      <c r="C28" s="8" t="s">
        <v>102</v>
      </c>
      <c r="D28" s="7"/>
      <c r="E28" s="7">
        <v>6.0</v>
      </c>
      <c r="F28" s="9" t="str">
        <f t="shared" si="1"/>
        <v>VI</v>
      </c>
      <c r="G28" s="7" t="str">
        <f t="shared" si="2"/>
        <v>DUR-B-6-VI</v>
      </c>
      <c r="H28" s="8" t="s">
        <v>102</v>
      </c>
      <c r="I28" s="7" t="s">
        <v>303</v>
      </c>
      <c r="J28" s="8" t="s">
        <v>313</v>
      </c>
      <c r="K28" s="136">
        <v>277.0</v>
      </c>
      <c r="L28" s="7">
        <v>1850000.0</v>
      </c>
      <c r="M28" s="8" t="s">
        <v>312</v>
      </c>
      <c r="N28" s="131">
        <v>4.0</v>
      </c>
      <c r="O28" s="7">
        <v>5.0</v>
      </c>
      <c r="P28" s="8" t="s">
        <v>89</v>
      </c>
      <c r="Q28" s="11"/>
      <c r="R28" s="8" t="s">
        <v>314</v>
      </c>
      <c r="S28" s="8"/>
      <c r="T28" s="13"/>
      <c r="U28" s="135"/>
      <c r="V28" s="15"/>
      <c r="W28" s="16"/>
      <c r="X28" s="133" t="s">
        <v>103</v>
      </c>
      <c r="Y28" s="18" t="s">
        <v>86</v>
      </c>
      <c r="Z28" s="8" t="s">
        <v>87</v>
      </c>
      <c r="AA28" s="12" t="s">
        <v>104</v>
      </c>
      <c r="AB28" s="130"/>
      <c r="AC28" s="133" t="s">
        <v>315</v>
      </c>
      <c r="AD28" s="134"/>
    </row>
    <row r="29">
      <c r="A29" s="7">
        <v>4.0</v>
      </c>
      <c r="B29" s="7" t="s">
        <v>101</v>
      </c>
      <c r="C29" s="8" t="s">
        <v>102</v>
      </c>
      <c r="D29" s="7"/>
      <c r="E29" s="7">
        <v>7.0</v>
      </c>
      <c r="F29" s="9" t="str">
        <f t="shared" si="1"/>
        <v>VI</v>
      </c>
      <c r="G29" s="7" t="str">
        <f t="shared" si="2"/>
        <v>DUR-B-7-VI</v>
      </c>
      <c r="H29" s="8" t="s">
        <v>102</v>
      </c>
      <c r="I29" s="7" t="s">
        <v>303</v>
      </c>
      <c r="J29" s="8" t="s">
        <v>313</v>
      </c>
      <c r="K29" s="136">
        <v>277.0</v>
      </c>
      <c r="L29" s="7">
        <v>1850000.0</v>
      </c>
      <c r="M29" s="8" t="s">
        <v>312</v>
      </c>
      <c r="N29" s="131">
        <v>4.0</v>
      </c>
      <c r="O29" s="7">
        <v>5.0</v>
      </c>
      <c r="P29" s="8" t="s">
        <v>89</v>
      </c>
      <c r="Q29" s="11"/>
      <c r="R29" s="8" t="s">
        <v>314</v>
      </c>
      <c r="S29" s="8"/>
      <c r="T29" s="13"/>
      <c r="U29" s="135"/>
      <c r="V29" s="15"/>
      <c r="W29" s="16"/>
      <c r="X29" s="133" t="s">
        <v>103</v>
      </c>
      <c r="Y29" s="18" t="s">
        <v>86</v>
      </c>
      <c r="Z29" s="8" t="s">
        <v>87</v>
      </c>
      <c r="AA29" s="12" t="s">
        <v>104</v>
      </c>
      <c r="AB29" s="130"/>
      <c r="AC29" s="133" t="s">
        <v>315</v>
      </c>
      <c r="AD29" s="134"/>
    </row>
    <row r="30">
      <c r="A30" s="7">
        <v>4.0</v>
      </c>
      <c r="B30" s="7" t="s">
        <v>101</v>
      </c>
      <c r="C30" s="8" t="s">
        <v>102</v>
      </c>
      <c r="D30" s="7"/>
      <c r="E30" s="7">
        <v>8.0</v>
      </c>
      <c r="F30" s="9" t="str">
        <f t="shared" si="1"/>
        <v>VI</v>
      </c>
      <c r="G30" s="7" t="str">
        <f t="shared" si="2"/>
        <v>DUR-B-8-VI</v>
      </c>
      <c r="H30" s="8" t="s">
        <v>102</v>
      </c>
      <c r="I30" s="7" t="s">
        <v>303</v>
      </c>
      <c r="J30" s="8" t="s">
        <v>313</v>
      </c>
      <c r="K30" s="136">
        <v>277.0</v>
      </c>
      <c r="L30" s="7">
        <v>1890000.0</v>
      </c>
      <c r="M30" s="8" t="s">
        <v>306</v>
      </c>
      <c r="N30" s="131">
        <v>4.0</v>
      </c>
      <c r="O30" s="7">
        <v>5.0</v>
      </c>
      <c r="P30" s="8" t="s">
        <v>89</v>
      </c>
      <c r="Q30" s="11"/>
      <c r="R30" s="8" t="s">
        <v>314</v>
      </c>
      <c r="S30" s="8"/>
      <c r="T30" s="13"/>
      <c r="U30" s="135"/>
      <c r="V30" s="15"/>
      <c r="W30" s="16"/>
      <c r="X30" s="133" t="s">
        <v>103</v>
      </c>
      <c r="Y30" s="18" t="s">
        <v>86</v>
      </c>
      <c r="Z30" s="8" t="s">
        <v>87</v>
      </c>
      <c r="AA30" s="12" t="s">
        <v>104</v>
      </c>
      <c r="AB30" s="130"/>
      <c r="AC30" s="133" t="s">
        <v>315</v>
      </c>
      <c r="AD30" s="134"/>
    </row>
    <row r="31">
      <c r="A31" s="7">
        <v>4.0</v>
      </c>
      <c r="B31" s="7" t="s">
        <v>101</v>
      </c>
      <c r="C31" s="8" t="s">
        <v>102</v>
      </c>
      <c r="D31" s="7"/>
      <c r="E31" s="7">
        <v>5.0</v>
      </c>
      <c r="F31" s="9" t="str">
        <f t="shared" si="1"/>
        <v>VI</v>
      </c>
      <c r="G31" s="7" t="str">
        <f t="shared" si="2"/>
        <v>DUR-B-5-VI</v>
      </c>
      <c r="H31" s="8" t="s">
        <v>102</v>
      </c>
      <c r="I31" s="7" t="s">
        <v>303</v>
      </c>
      <c r="J31" s="8" t="s">
        <v>313</v>
      </c>
      <c r="K31" s="136">
        <v>282.0</v>
      </c>
      <c r="L31" s="7">
        <v>1880000.0</v>
      </c>
      <c r="M31" s="8" t="s">
        <v>296</v>
      </c>
      <c r="N31" s="131">
        <v>4.0</v>
      </c>
      <c r="O31" s="7">
        <v>5.0</v>
      </c>
      <c r="P31" s="8" t="s">
        <v>89</v>
      </c>
      <c r="Q31" s="11"/>
      <c r="R31" s="8" t="s">
        <v>314</v>
      </c>
      <c r="S31" s="8"/>
      <c r="T31" s="13"/>
      <c r="U31" s="135"/>
      <c r="V31" s="15"/>
      <c r="W31" s="16"/>
      <c r="X31" s="133" t="s">
        <v>103</v>
      </c>
      <c r="Y31" s="18" t="s">
        <v>86</v>
      </c>
      <c r="Z31" s="8" t="s">
        <v>87</v>
      </c>
      <c r="AA31" s="12" t="s">
        <v>104</v>
      </c>
      <c r="AB31" s="130"/>
      <c r="AC31" s="133" t="s">
        <v>315</v>
      </c>
      <c r="AD31" s="134"/>
    </row>
    <row r="32">
      <c r="A32" s="57">
        <v>5.0</v>
      </c>
      <c r="B32" s="7" t="s">
        <v>106</v>
      </c>
      <c r="C32" s="8" t="s">
        <v>107</v>
      </c>
      <c r="D32" s="57"/>
      <c r="E32" s="46">
        <v>7.0</v>
      </c>
      <c r="F32" s="9" t="str">
        <f t="shared" si="1"/>
        <v>AP</v>
      </c>
      <c r="G32" s="7" t="str">
        <f t="shared" si="2"/>
        <v>SAL-B-7-AP</v>
      </c>
      <c r="H32" s="57" t="s">
        <v>107</v>
      </c>
      <c r="I32" s="46" t="s">
        <v>303</v>
      </c>
      <c r="J32" s="57" t="s">
        <v>301</v>
      </c>
      <c r="K32" s="131">
        <v>281.0</v>
      </c>
      <c r="L32" s="7">
        <v>910000.0</v>
      </c>
      <c r="M32" s="51" t="s">
        <v>306</v>
      </c>
      <c r="N32" s="137">
        <v>3.0</v>
      </c>
      <c r="O32" s="57">
        <v>4.0</v>
      </c>
      <c r="P32" s="8" t="s">
        <v>89</v>
      </c>
      <c r="Q32" s="11"/>
      <c r="R32" s="57" t="s">
        <v>307</v>
      </c>
      <c r="S32" s="8" t="s">
        <v>308</v>
      </c>
      <c r="T32" s="80"/>
      <c r="U32" s="80"/>
      <c r="V32" s="15"/>
      <c r="W32" s="16"/>
      <c r="X32" s="138" t="s">
        <v>108</v>
      </c>
      <c r="Y32" s="18" t="s">
        <v>86</v>
      </c>
      <c r="Z32" s="8" t="s">
        <v>87</v>
      </c>
      <c r="AA32" s="12" t="s">
        <v>109</v>
      </c>
      <c r="AB32" s="130"/>
      <c r="AC32" s="139" t="s">
        <v>316</v>
      </c>
      <c r="AD32" s="138"/>
    </row>
    <row r="33">
      <c r="A33" s="57">
        <v>5.0</v>
      </c>
      <c r="B33" s="7" t="s">
        <v>106</v>
      </c>
      <c r="C33" s="8" t="s">
        <v>107</v>
      </c>
      <c r="D33" s="57"/>
      <c r="E33" s="46">
        <v>11.0</v>
      </c>
      <c r="F33" s="9" t="str">
        <f t="shared" si="1"/>
        <v>AP</v>
      </c>
      <c r="G33" s="7" t="str">
        <f t="shared" si="2"/>
        <v>SAL-C-11-AP</v>
      </c>
      <c r="H33" s="57" t="s">
        <v>107</v>
      </c>
      <c r="I33" s="46" t="s">
        <v>317</v>
      </c>
      <c r="J33" s="57" t="s">
        <v>301</v>
      </c>
      <c r="K33" s="131">
        <v>202.0</v>
      </c>
      <c r="L33" s="7">
        <v>910000.0</v>
      </c>
      <c r="M33" s="51" t="s">
        <v>306</v>
      </c>
      <c r="N33" s="137">
        <v>3.0</v>
      </c>
      <c r="O33" s="57">
        <v>4.0</v>
      </c>
      <c r="P33" s="8" t="s">
        <v>89</v>
      </c>
      <c r="Q33" s="11"/>
      <c r="R33" s="57" t="s">
        <v>307</v>
      </c>
      <c r="S33" s="8" t="s">
        <v>318</v>
      </c>
      <c r="T33" s="80"/>
      <c r="U33" s="80"/>
      <c r="V33" s="15"/>
      <c r="W33" s="16"/>
      <c r="X33" s="138" t="s">
        <v>108</v>
      </c>
      <c r="Y33" s="18" t="s">
        <v>86</v>
      </c>
      <c r="Z33" s="8" t="s">
        <v>87</v>
      </c>
      <c r="AA33" s="12" t="s">
        <v>109</v>
      </c>
      <c r="AB33" s="130"/>
      <c r="AC33" s="139" t="s">
        <v>316</v>
      </c>
      <c r="AD33" s="138"/>
    </row>
    <row r="34">
      <c r="A34" s="57">
        <v>5.0</v>
      </c>
      <c r="B34" s="7" t="s">
        <v>106</v>
      </c>
      <c r="C34" s="8" t="s">
        <v>107</v>
      </c>
      <c r="D34" s="57"/>
      <c r="E34" s="46">
        <v>6.0</v>
      </c>
      <c r="F34" s="9" t="str">
        <f t="shared" si="1"/>
        <v>AP</v>
      </c>
      <c r="G34" s="7" t="str">
        <f t="shared" si="2"/>
        <v>SAL-B-6-AP</v>
      </c>
      <c r="H34" s="57" t="s">
        <v>107</v>
      </c>
      <c r="I34" s="46" t="s">
        <v>303</v>
      </c>
      <c r="J34" s="57" t="s">
        <v>301</v>
      </c>
      <c r="K34" s="131">
        <v>249.0</v>
      </c>
      <c r="L34" s="7">
        <v>910000.0</v>
      </c>
      <c r="M34" s="51" t="s">
        <v>306</v>
      </c>
      <c r="N34" s="137">
        <v>3.0</v>
      </c>
      <c r="O34" s="57">
        <v>4.0</v>
      </c>
      <c r="P34" s="8" t="s">
        <v>89</v>
      </c>
      <c r="Q34" s="11"/>
      <c r="R34" s="57" t="s">
        <v>307</v>
      </c>
      <c r="S34" s="8" t="s">
        <v>308</v>
      </c>
      <c r="T34" s="80"/>
      <c r="U34" s="80"/>
      <c r="V34" s="15"/>
      <c r="W34" s="16"/>
      <c r="X34" s="138" t="s">
        <v>108</v>
      </c>
      <c r="Y34" s="18" t="s">
        <v>86</v>
      </c>
      <c r="Z34" s="8" t="s">
        <v>87</v>
      </c>
      <c r="AA34" s="12" t="s">
        <v>109</v>
      </c>
      <c r="AB34" s="130"/>
      <c r="AC34" s="139" t="s">
        <v>316</v>
      </c>
      <c r="AD34" s="138"/>
    </row>
    <row r="35">
      <c r="A35" s="57">
        <v>5.0</v>
      </c>
      <c r="B35" s="7" t="s">
        <v>106</v>
      </c>
      <c r="C35" s="8" t="s">
        <v>107</v>
      </c>
      <c r="D35" s="57"/>
      <c r="E35" s="46">
        <v>10.0</v>
      </c>
      <c r="F35" s="9" t="str">
        <f t="shared" si="1"/>
        <v>AP</v>
      </c>
      <c r="G35" s="7" t="str">
        <f t="shared" si="2"/>
        <v>SAL-C-10-AP</v>
      </c>
      <c r="H35" s="57" t="s">
        <v>107</v>
      </c>
      <c r="I35" s="46" t="s">
        <v>317</v>
      </c>
      <c r="J35" s="57" t="s">
        <v>301</v>
      </c>
      <c r="K35" s="131">
        <v>144.0</v>
      </c>
      <c r="L35" s="7">
        <v>910000.0</v>
      </c>
      <c r="M35" s="51" t="s">
        <v>306</v>
      </c>
      <c r="N35" s="137">
        <v>3.0</v>
      </c>
      <c r="O35" s="57">
        <v>4.0</v>
      </c>
      <c r="P35" s="8" t="s">
        <v>89</v>
      </c>
      <c r="Q35" s="11"/>
      <c r="R35" s="57" t="s">
        <v>307</v>
      </c>
      <c r="S35" s="8" t="s">
        <v>318</v>
      </c>
      <c r="T35" s="80"/>
      <c r="U35" s="80"/>
      <c r="V35" s="15"/>
      <c r="W35" s="16"/>
      <c r="X35" s="138" t="s">
        <v>108</v>
      </c>
      <c r="Y35" s="18" t="s">
        <v>86</v>
      </c>
      <c r="Z35" s="8" t="s">
        <v>87</v>
      </c>
      <c r="AA35" s="12" t="s">
        <v>109</v>
      </c>
      <c r="AB35" s="130"/>
      <c r="AC35" s="139" t="s">
        <v>316</v>
      </c>
      <c r="AD35" s="138"/>
    </row>
    <row r="36">
      <c r="A36" s="57">
        <v>5.0</v>
      </c>
      <c r="B36" s="7" t="s">
        <v>106</v>
      </c>
      <c r="C36" s="8" t="s">
        <v>107</v>
      </c>
      <c r="D36" s="57"/>
      <c r="E36" s="46">
        <v>4.0</v>
      </c>
      <c r="F36" s="9" t="str">
        <f t="shared" si="1"/>
        <v>AP</v>
      </c>
      <c r="G36" s="7" t="str">
        <f t="shared" si="2"/>
        <v>SAL-B-4-AP</v>
      </c>
      <c r="H36" s="57" t="s">
        <v>107</v>
      </c>
      <c r="I36" s="46" t="s">
        <v>303</v>
      </c>
      <c r="J36" s="57" t="s">
        <v>301</v>
      </c>
      <c r="K36" s="140">
        <v>144.0</v>
      </c>
      <c r="L36" s="7">
        <v>898000.0</v>
      </c>
      <c r="M36" s="51" t="s">
        <v>306</v>
      </c>
      <c r="N36" s="137">
        <v>3.0</v>
      </c>
      <c r="O36" s="57">
        <v>4.0</v>
      </c>
      <c r="P36" s="8" t="s">
        <v>89</v>
      </c>
      <c r="Q36" s="11"/>
      <c r="R36" s="57" t="s">
        <v>307</v>
      </c>
      <c r="S36" s="8" t="s">
        <v>308</v>
      </c>
      <c r="T36" s="80"/>
      <c r="U36" s="80"/>
      <c r="V36" s="15"/>
      <c r="W36" s="16"/>
      <c r="X36" s="138" t="s">
        <v>108</v>
      </c>
      <c r="Y36" s="18" t="s">
        <v>86</v>
      </c>
      <c r="Z36" s="8" t="s">
        <v>87</v>
      </c>
      <c r="AA36" s="12" t="s">
        <v>109</v>
      </c>
      <c r="AB36" s="130"/>
      <c r="AC36" s="139" t="s">
        <v>316</v>
      </c>
      <c r="AD36" s="138"/>
    </row>
    <row r="37">
      <c r="A37" s="57">
        <v>5.0</v>
      </c>
      <c r="B37" s="7" t="s">
        <v>106</v>
      </c>
      <c r="C37" s="8" t="s">
        <v>107</v>
      </c>
      <c r="D37" s="57"/>
      <c r="E37" s="46">
        <v>5.0</v>
      </c>
      <c r="F37" s="9" t="str">
        <f t="shared" si="1"/>
        <v>AP</v>
      </c>
      <c r="G37" s="7" t="str">
        <f t="shared" si="2"/>
        <v>SAL-B-5-AP</v>
      </c>
      <c r="H37" s="57" t="s">
        <v>107</v>
      </c>
      <c r="I37" s="46" t="s">
        <v>303</v>
      </c>
      <c r="J37" s="57" t="s">
        <v>301</v>
      </c>
      <c r="K37" s="140">
        <v>143.0</v>
      </c>
      <c r="L37" s="7">
        <v>898000.0</v>
      </c>
      <c r="M37" s="51" t="s">
        <v>306</v>
      </c>
      <c r="N37" s="137">
        <v>3.0</v>
      </c>
      <c r="O37" s="57">
        <v>4.0</v>
      </c>
      <c r="P37" s="8" t="s">
        <v>89</v>
      </c>
      <c r="Q37" s="11"/>
      <c r="R37" s="57" t="s">
        <v>307</v>
      </c>
      <c r="S37" s="8" t="s">
        <v>308</v>
      </c>
      <c r="T37" s="80"/>
      <c r="U37" s="80"/>
      <c r="V37" s="15"/>
      <c r="W37" s="16"/>
      <c r="X37" s="138" t="s">
        <v>108</v>
      </c>
      <c r="Y37" s="18" t="s">
        <v>86</v>
      </c>
      <c r="Z37" s="8" t="s">
        <v>87</v>
      </c>
      <c r="AA37" s="12" t="s">
        <v>109</v>
      </c>
      <c r="AB37" s="130"/>
      <c r="AC37" s="139" t="s">
        <v>316</v>
      </c>
      <c r="AD37" s="138"/>
    </row>
    <row r="38">
      <c r="A38" s="57">
        <v>5.0</v>
      </c>
      <c r="B38" s="7" t="s">
        <v>106</v>
      </c>
      <c r="C38" s="8" t="s">
        <v>107</v>
      </c>
      <c r="D38" s="57"/>
      <c r="E38" s="46">
        <v>8.0</v>
      </c>
      <c r="F38" s="9" t="str">
        <f t="shared" si="1"/>
        <v>AP</v>
      </c>
      <c r="G38" s="7" t="str">
        <f t="shared" si="2"/>
        <v>SAL-C-8-AP</v>
      </c>
      <c r="H38" s="57" t="s">
        <v>107</v>
      </c>
      <c r="I38" s="46" t="s">
        <v>317</v>
      </c>
      <c r="J38" s="57" t="s">
        <v>301</v>
      </c>
      <c r="K38" s="140">
        <v>143.0</v>
      </c>
      <c r="L38" s="7">
        <v>830000.0</v>
      </c>
      <c r="M38" s="51" t="s">
        <v>296</v>
      </c>
      <c r="N38" s="137">
        <v>3.0</v>
      </c>
      <c r="O38" s="57">
        <v>4.0</v>
      </c>
      <c r="P38" s="8" t="s">
        <v>89</v>
      </c>
      <c r="Q38" s="11"/>
      <c r="R38" s="57" t="s">
        <v>307</v>
      </c>
      <c r="S38" s="8" t="s">
        <v>318</v>
      </c>
      <c r="T38" s="80"/>
      <c r="U38" s="80"/>
      <c r="V38" s="15"/>
      <c r="W38" s="16"/>
      <c r="X38" s="138" t="s">
        <v>108</v>
      </c>
      <c r="Y38" s="18" t="s">
        <v>86</v>
      </c>
      <c r="Z38" s="8" t="s">
        <v>87</v>
      </c>
      <c r="AA38" s="12" t="s">
        <v>109</v>
      </c>
      <c r="AB38" s="130"/>
      <c r="AC38" s="139" t="s">
        <v>316</v>
      </c>
      <c r="AD38" s="138"/>
    </row>
    <row r="39">
      <c r="A39" s="57">
        <v>5.0</v>
      </c>
      <c r="B39" s="7" t="s">
        <v>106</v>
      </c>
      <c r="C39" s="8" t="s">
        <v>107</v>
      </c>
      <c r="D39" s="57"/>
      <c r="E39" s="46">
        <v>9.0</v>
      </c>
      <c r="F39" s="9" t="str">
        <f t="shared" si="1"/>
        <v>AP</v>
      </c>
      <c r="G39" s="7" t="str">
        <f t="shared" si="2"/>
        <v>SAL-C-9-AP</v>
      </c>
      <c r="H39" s="57" t="s">
        <v>107</v>
      </c>
      <c r="I39" s="46" t="s">
        <v>317</v>
      </c>
      <c r="J39" s="57" t="s">
        <v>301</v>
      </c>
      <c r="K39" s="140">
        <v>144.0</v>
      </c>
      <c r="L39" s="7">
        <v>830000.0</v>
      </c>
      <c r="M39" s="51" t="s">
        <v>296</v>
      </c>
      <c r="N39" s="137">
        <v>3.0</v>
      </c>
      <c r="O39" s="57">
        <v>4.0</v>
      </c>
      <c r="P39" s="8" t="s">
        <v>89</v>
      </c>
      <c r="Q39" s="11"/>
      <c r="R39" s="57" t="s">
        <v>307</v>
      </c>
      <c r="S39" s="8" t="s">
        <v>318</v>
      </c>
      <c r="T39" s="80"/>
      <c r="U39" s="80"/>
      <c r="V39" s="15"/>
      <c r="W39" s="16"/>
      <c r="X39" s="138" t="s">
        <v>108</v>
      </c>
      <c r="Y39" s="18" t="s">
        <v>86</v>
      </c>
      <c r="Z39" s="8" t="s">
        <v>87</v>
      </c>
      <c r="AA39" s="12" t="s">
        <v>109</v>
      </c>
      <c r="AB39" s="130"/>
      <c r="AC39" s="139" t="s">
        <v>316</v>
      </c>
      <c r="AD39" s="138"/>
    </row>
    <row r="40">
      <c r="A40" s="57">
        <v>5.0</v>
      </c>
      <c r="B40" s="7" t="s">
        <v>106</v>
      </c>
      <c r="C40" s="8" t="s">
        <v>107</v>
      </c>
      <c r="D40" s="57"/>
      <c r="E40" s="46">
        <v>3.0</v>
      </c>
      <c r="F40" s="9" t="str">
        <f t="shared" si="1"/>
        <v>AP</v>
      </c>
      <c r="G40" s="7" t="str">
        <f t="shared" si="2"/>
        <v>SAL-A-3-AP</v>
      </c>
      <c r="H40" s="57" t="s">
        <v>107</v>
      </c>
      <c r="I40" s="57" t="s">
        <v>294</v>
      </c>
      <c r="J40" s="57" t="s">
        <v>301</v>
      </c>
      <c r="K40" s="140">
        <v>144.0</v>
      </c>
      <c r="L40" s="7">
        <v>1050000.0</v>
      </c>
      <c r="M40" s="51" t="s">
        <v>306</v>
      </c>
      <c r="N40" s="137">
        <v>3.0</v>
      </c>
      <c r="O40" s="57">
        <v>4.0</v>
      </c>
      <c r="P40" s="8" t="s">
        <v>89</v>
      </c>
      <c r="Q40" s="11"/>
      <c r="R40" s="57" t="s">
        <v>307</v>
      </c>
      <c r="S40" s="8" t="s">
        <v>298</v>
      </c>
      <c r="T40" s="80"/>
      <c r="U40" s="80"/>
      <c r="V40" s="15"/>
      <c r="W40" s="16"/>
      <c r="X40" s="138" t="s">
        <v>108</v>
      </c>
      <c r="Y40" s="18" t="s">
        <v>86</v>
      </c>
      <c r="Z40" s="8" t="s">
        <v>87</v>
      </c>
      <c r="AA40" s="12" t="s">
        <v>109</v>
      </c>
      <c r="AB40" s="130"/>
      <c r="AC40" s="139" t="s">
        <v>316</v>
      </c>
      <c r="AD40" s="138"/>
    </row>
    <row r="41">
      <c r="A41" s="7">
        <v>5.0</v>
      </c>
      <c r="B41" s="7" t="s">
        <v>106</v>
      </c>
      <c r="C41" s="8" t="s">
        <v>107</v>
      </c>
      <c r="D41" s="7"/>
      <c r="E41" s="7">
        <v>2.0</v>
      </c>
      <c r="F41" s="9" t="str">
        <f t="shared" si="1"/>
        <v>AP</v>
      </c>
      <c r="G41" s="7" t="str">
        <f t="shared" si="2"/>
        <v>SAL-A-2-AP</v>
      </c>
      <c r="H41" s="8" t="s">
        <v>107</v>
      </c>
      <c r="I41" s="7" t="s">
        <v>294</v>
      </c>
      <c r="J41" s="8" t="s">
        <v>301</v>
      </c>
      <c r="K41" s="140">
        <v>143.0</v>
      </c>
      <c r="L41" s="7">
        <v>1050000.0</v>
      </c>
      <c r="M41" s="8" t="s">
        <v>296</v>
      </c>
      <c r="N41" s="131">
        <v>3.0</v>
      </c>
      <c r="O41" s="7">
        <v>4.0</v>
      </c>
      <c r="P41" s="8" t="s">
        <v>89</v>
      </c>
      <c r="Q41" s="11"/>
      <c r="R41" s="8" t="s">
        <v>307</v>
      </c>
      <c r="S41" s="8" t="s">
        <v>298</v>
      </c>
      <c r="T41" s="13"/>
      <c r="U41" s="135"/>
      <c r="V41" s="15"/>
      <c r="W41" s="16"/>
      <c r="X41" s="133" t="s">
        <v>108</v>
      </c>
      <c r="Y41" s="18" t="s">
        <v>86</v>
      </c>
      <c r="Z41" s="8" t="s">
        <v>87</v>
      </c>
      <c r="AA41" s="12" t="s">
        <v>109</v>
      </c>
      <c r="AB41" s="130"/>
      <c r="AC41" s="133" t="s">
        <v>316</v>
      </c>
      <c r="AD41" s="134"/>
    </row>
    <row r="42">
      <c r="A42" s="57">
        <v>5.0</v>
      </c>
      <c r="B42" s="7" t="s">
        <v>106</v>
      </c>
      <c r="C42" s="8" t="s">
        <v>107</v>
      </c>
      <c r="D42" s="57"/>
      <c r="E42" s="46">
        <v>13.0</v>
      </c>
      <c r="F42" s="9" t="str">
        <f t="shared" si="1"/>
        <v>AP</v>
      </c>
      <c r="G42" s="7" t="str">
        <f t="shared" si="2"/>
        <v>SAL-D-13-AP</v>
      </c>
      <c r="H42" s="57" t="s">
        <v>107</v>
      </c>
      <c r="I42" s="46" t="s">
        <v>319</v>
      </c>
      <c r="J42" s="57" t="s">
        <v>301</v>
      </c>
      <c r="K42" s="140">
        <v>143.0</v>
      </c>
      <c r="L42" s="7">
        <v>1130000.0</v>
      </c>
      <c r="M42" s="51" t="s">
        <v>296</v>
      </c>
      <c r="N42" s="137">
        <v>3.0</v>
      </c>
      <c r="O42" s="57">
        <v>4.0</v>
      </c>
      <c r="P42" s="8" t="s">
        <v>89</v>
      </c>
      <c r="Q42" s="11"/>
      <c r="R42" s="57" t="s">
        <v>307</v>
      </c>
      <c r="S42" s="8" t="s">
        <v>320</v>
      </c>
      <c r="T42" s="80"/>
      <c r="U42" s="80"/>
      <c r="V42" s="15"/>
      <c r="W42" s="16"/>
      <c r="X42" s="138" t="s">
        <v>108</v>
      </c>
      <c r="Y42" s="18" t="s">
        <v>86</v>
      </c>
      <c r="Z42" s="8" t="s">
        <v>87</v>
      </c>
      <c r="AA42" s="12" t="s">
        <v>109</v>
      </c>
      <c r="AB42" s="130"/>
      <c r="AC42" s="139" t="s">
        <v>316</v>
      </c>
      <c r="AD42" s="138"/>
    </row>
    <row r="43">
      <c r="A43" s="57">
        <v>5.0</v>
      </c>
      <c r="B43" s="7" t="s">
        <v>106</v>
      </c>
      <c r="C43" s="8" t="s">
        <v>107</v>
      </c>
      <c r="D43" s="57"/>
      <c r="E43" s="46">
        <v>12.0</v>
      </c>
      <c r="F43" s="9" t="str">
        <f t="shared" si="1"/>
        <v>AP</v>
      </c>
      <c r="G43" s="7" t="str">
        <f t="shared" si="2"/>
        <v>SAL-D-12-AP</v>
      </c>
      <c r="H43" s="57" t="s">
        <v>107</v>
      </c>
      <c r="I43" s="46" t="s">
        <v>319</v>
      </c>
      <c r="J43" s="57" t="s">
        <v>301</v>
      </c>
      <c r="K43" s="140">
        <v>251.0</v>
      </c>
      <c r="L43" s="7">
        <v>1130000.0</v>
      </c>
      <c r="M43" s="51" t="s">
        <v>296</v>
      </c>
      <c r="N43" s="137">
        <v>3.0</v>
      </c>
      <c r="O43" s="57">
        <v>4.0</v>
      </c>
      <c r="P43" s="8" t="s">
        <v>89</v>
      </c>
      <c r="Q43" s="11"/>
      <c r="R43" s="57" t="s">
        <v>307</v>
      </c>
      <c r="S43" s="8" t="s">
        <v>320</v>
      </c>
      <c r="T43" s="80"/>
      <c r="U43" s="80"/>
      <c r="V43" s="15"/>
      <c r="W43" s="16"/>
      <c r="X43" s="138" t="s">
        <v>108</v>
      </c>
      <c r="Y43" s="18" t="s">
        <v>86</v>
      </c>
      <c r="Z43" s="8" t="s">
        <v>87</v>
      </c>
      <c r="AA43" s="12" t="s">
        <v>109</v>
      </c>
      <c r="AB43" s="130"/>
      <c r="AC43" s="139" t="s">
        <v>316</v>
      </c>
      <c r="AD43" s="138"/>
    </row>
    <row r="44">
      <c r="A44" s="7">
        <v>5.0</v>
      </c>
      <c r="B44" s="7" t="s">
        <v>106</v>
      </c>
      <c r="C44" s="8" t="s">
        <v>107</v>
      </c>
      <c r="D44" s="7"/>
      <c r="E44" s="7">
        <v>1.0</v>
      </c>
      <c r="F44" s="9" t="str">
        <f t="shared" si="1"/>
        <v>AP</v>
      </c>
      <c r="G44" s="7" t="str">
        <f t="shared" si="2"/>
        <v>SAL-A-1-AP</v>
      </c>
      <c r="H44" s="8" t="s">
        <v>107</v>
      </c>
      <c r="I44" s="7" t="s">
        <v>294</v>
      </c>
      <c r="J44" s="8" t="s">
        <v>301</v>
      </c>
      <c r="K44" s="140">
        <v>251.0</v>
      </c>
      <c r="L44" s="7">
        <v>1330000.0</v>
      </c>
      <c r="M44" s="8" t="s">
        <v>296</v>
      </c>
      <c r="N44" s="131">
        <v>3.0</v>
      </c>
      <c r="O44" s="7">
        <v>4.0</v>
      </c>
      <c r="P44" s="8" t="s">
        <v>89</v>
      </c>
      <c r="Q44" s="11"/>
      <c r="R44" s="8" t="s">
        <v>307</v>
      </c>
      <c r="S44" s="8" t="s">
        <v>298</v>
      </c>
      <c r="T44" s="13"/>
      <c r="U44" s="135"/>
      <c r="V44" s="15"/>
      <c r="W44" s="16"/>
      <c r="X44" s="133" t="s">
        <v>108</v>
      </c>
      <c r="Y44" s="18" t="s">
        <v>86</v>
      </c>
      <c r="Z44" s="8" t="s">
        <v>87</v>
      </c>
      <c r="AA44" s="12" t="s">
        <v>109</v>
      </c>
      <c r="AB44" s="130"/>
      <c r="AC44" s="133" t="s">
        <v>316</v>
      </c>
      <c r="AD44" s="134"/>
    </row>
    <row r="45">
      <c r="A45" s="46">
        <v>6.0</v>
      </c>
      <c r="B45" s="46" t="s">
        <v>111</v>
      </c>
      <c r="C45" s="51" t="s">
        <v>112</v>
      </c>
      <c r="D45" s="46">
        <v>79.0</v>
      </c>
      <c r="E45" s="46">
        <v>1.0</v>
      </c>
      <c r="F45" s="9" t="str">
        <f t="shared" si="1"/>
        <v>VI</v>
      </c>
      <c r="G45" s="7" t="str">
        <f t="shared" si="2"/>
        <v>MAJ79-A-1-VI</v>
      </c>
      <c r="H45" s="51" t="s">
        <v>113</v>
      </c>
      <c r="I45" s="46" t="s">
        <v>294</v>
      </c>
      <c r="J45" s="51" t="s">
        <v>313</v>
      </c>
      <c r="K45" s="141">
        <v>221.0</v>
      </c>
      <c r="L45" s="7">
        <v>3700000.0</v>
      </c>
      <c r="M45" s="51" t="s">
        <v>296</v>
      </c>
      <c r="N45" s="142">
        <v>4.0</v>
      </c>
      <c r="O45" s="46">
        <v>6.0</v>
      </c>
      <c r="P45" s="8" t="s">
        <v>89</v>
      </c>
      <c r="Q45" s="11"/>
      <c r="R45" s="57" t="s">
        <v>307</v>
      </c>
      <c r="S45" s="8"/>
      <c r="T45" s="80"/>
      <c r="U45" s="80"/>
      <c r="V45" s="15"/>
      <c r="W45" s="16"/>
      <c r="X45" s="139" t="s">
        <v>114</v>
      </c>
      <c r="Y45" s="18" t="s">
        <v>86</v>
      </c>
      <c r="Z45" s="8" t="s">
        <v>87</v>
      </c>
      <c r="AA45" s="12" t="s">
        <v>115</v>
      </c>
      <c r="AB45" s="130"/>
      <c r="AC45" s="139"/>
      <c r="AD45" s="139"/>
    </row>
    <row r="46">
      <c r="A46" s="46">
        <v>6.0</v>
      </c>
      <c r="B46" s="46" t="s">
        <v>111</v>
      </c>
      <c r="C46" s="51" t="s">
        <v>112</v>
      </c>
      <c r="D46" s="46">
        <v>79.0</v>
      </c>
      <c r="E46" s="46">
        <v>2.0</v>
      </c>
      <c r="F46" s="9" t="str">
        <f t="shared" si="1"/>
        <v>VI</v>
      </c>
      <c r="G46" s="7" t="str">
        <f t="shared" si="2"/>
        <v>MAJ79-B-2-VI</v>
      </c>
      <c r="H46" s="51" t="s">
        <v>113</v>
      </c>
      <c r="I46" s="46" t="s">
        <v>303</v>
      </c>
      <c r="J46" s="51" t="s">
        <v>313</v>
      </c>
      <c r="K46" s="141">
        <v>204.0</v>
      </c>
      <c r="L46" s="7">
        <v>3900000.0</v>
      </c>
      <c r="M46" s="51" t="s">
        <v>296</v>
      </c>
      <c r="N46" s="142">
        <v>4.0</v>
      </c>
      <c r="O46" s="46">
        <v>6.0</v>
      </c>
      <c r="P46" s="8" t="s">
        <v>89</v>
      </c>
      <c r="Q46" s="11"/>
      <c r="R46" s="57" t="s">
        <v>307</v>
      </c>
      <c r="S46" s="8"/>
      <c r="T46" s="80"/>
      <c r="U46" s="80"/>
      <c r="V46" s="15"/>
      <c r="W46" s="16"/>
      <c r="X46" s="139" t="s">
        <v>114</v>
      </c>
      <c r="Y46" s="18" t="s">
        <v>86</v>
      </c>
      <c r="Z46" s="8" t="s">
        <v>87</v>
      </c>
      <c r="AA46" s="12" t="s">
        <v>115</v>
      </c>
      <c r="AB46" s="130"/>
      <c r="AC46" s="139"/>
      <c r="AD46" s="139"/>
    </row>
    <row r="47">
      <c r="A47" s="46">
        <v>6.0</v>
      </c>
      <c r="B47" s="46" t="s">
        <v>111</v>
      </c>
      <c r="C47" s="51" t="s">
        <v>112</v>
      </c>
      <c r="D47" s="46">
        <v>79.0</v>
      </c>
      <c r="E47" s="46">
        <v>3.0</v>
      </c>
      <c r="F47" s="9" t="str">
        <f t="shared" si="1"/>
        <v>FL</v>
      </c>
      <c r="G47" s="7" t="str">
        <f t="shared" si="2"/>
        <v>MAJ79-G-3-FL</v>
      </c>
      <c r="H47" s="51" t="s">
        <v>113</v>
      </c>
      <c r="I47" s="46" t="s">
        <v>321</v>
      </c>
      <c r="J47" s="51" t="s">
        <v>295</v>
      </c>
      <c r="K47" s="140">
        <v>258.0</v>
      </c>
      <c r="L47" s="7">
        <v>2150000.0</v>
      </c>
      <c r="M47" s="51" t="s">
        <v>296</v>
      </c>
      <c r="N47" s="142">
        <v>3.0</v>
      </c>
      <c r="O47" s="46">
        <v>3.0</v>
      </c>
      <c r="P47" s="143" t="s">
        <v>116</v>
      </c>
      <c r="Q47" s="11"/>
      <c r="R47" s="57" t="s">
        <v>307</v>
      </c>
      <c r="S47" s="8" t="s">
        <v>298</v>
      </c>
      <c r="T47" s="80"/>
      <c r="U47" s="80"/>
      <c r="V47" s="15"/>
      <c r="W47" s="16"/>
      <c r="X47" s="139" t="s">
        <v>114</v>
      </c>
      <c r="Y47" s="18" t="s">
        <v>86</v>
      </c>
      <c r="Z47" s="8" t="s">
        <v>87</v>
      </c>
      <c r="AA47" s="12" t="s">
        <v>115</v>
      </c>
      <c r="AB47" s="130"/>
      <c r="AC47" s="139"/>
      <c r="AD47" s="139"/>
    </row>
    <row r="48">
      <c r="A48" s="46">
        <v>6.0</v>
      </c>
      <c r="B48" s="46" t="s">
        <v>111</v>
      </c>
      <c r="C48" s="51" t="s">
        <v>112</v>
      </c>
      <c r="D48" s="46">
        <v>79.0</v>
      </c>
      <c r="E48" s="46">
        <v>4.0</v>
      </c>
      <c r="F48" s="9" t="str">
        <f t="shared" si="1"/>
        <v>FL</v>
      </c>
      <c r="G48" s="7" t="str">
        <f t="shared" si="2"/>
        <v>MAJ79-G-4-FL</v>
      </c>
      <c r="H48" s="51" t="s">
        <v>113</v>
      </c>
      <c r="I48" s="46" t="s">
        <v>321</v>
      </c>
      <c r="J48" s="51" t="s">
        <v>295</v>
      </c>
      <c r="K48" s="140">
        <v>222.0</v>
      </c>
      <c r="L48" s="7">
        <v>1950000.0</v>
      </c>
      <c r="M48" s="51" t="s">
        <v>296</v>
      </c>
      <c r="N48" s="142">
        <v>3.0</v>
      </c>
      <c r="O48" s="46">
        <v>3.0</v>
      </c>
      <c r="P48" s="8" t="s">
        <v>89</v>
      </c>
      <c r="Q48" s="11"/>
      <c r="R48" s="57" t="s">
        <v>307</v>
      </c>
      <c r="S48" s="8" t="s">
        <v>308</v>
      </c>
      <c r="T48" s="80"/>
      <c r="U48" s="80"/>
      <c r="V48" s="15"/>
      <c r="W48" s="16"/>
      <c r="X48" s="139" t="s">
        <v>114</v>
      </c>
      <c r="Y48" s="18" t="s">
        <v>86</v>
      </c>
      <c r="Z48" s="8" t="s">
        <v>87</v>
      </c>
      <c r="AA48" s="12" t="s">
        <v>115</v>
      </c>
      <c r="AB48" s="130"/>
      <c r="AC48" s="139"/>
      <c r="AD48" s="139"/>
    </row>
    <row r="49">
      <c r="A49" s="46">
        <v>6.0</v>
      </c>
      <c r="B49" s="46" t="s">
        <v>111</v>
      </c>
      <c r="C49" s="51" t="s">
        <v>112</v>
      </c>
      <c r="D49" s="46">
        <v>79.0</v>
      </c>
      <c r="E49" s="46">
        <v>5.0</v>
      </c>
      <c r="F49" s="9" t="str">
        <f t="shared" si="1"/>
        <v>FL</v>
      </c>
      <c r="G49" s="7" t="str">
        <f t="shared" si="2"/>
        <v>MAJ79-G-5-FL</v>
      </c>
      <c r="H49" s="51" t="s">
        <v>113</v>
      </c>
      <c r="I49" s="46" t="s">
        <v>321</v>
      </c>
      <c r="J49" s="51" t="s">
        <v>295</v>
      </c>
      <c r="K49" s="140">
        <v>158.0</v>
      </c>
      <c r="L49" s="7">
        <v>1750000.0</v>
      </c>
      <c r="M49" s="51" t="s">
        <v>296</v>
      </c>
      <c r="N49" s="142">
        <v>3.0</v>
      </c>
      <c r="O49" s="46">
        <v>3.0</v>
      </c>
      <c r="P49" s="8" t="s">
        <v>89</v>
      </c>
      <c r="Q49" s="11"/>
      <c r="R49" s="57" t="s">
        <v>307</v>
      </c>
      <c r="S49" s="8" t="s">
        <v>318</v>
      </c>
      <c r="T49" s="80"/>
      <c r="U49" s="80"/>
      <c r="V49" s="15"/>
      <c r="W49" s="16"/>
      <c r="X49" s="139" t="s">
        <v>114</v>
      </c>
      <c r="Y49" s="18" t="s">
        <v>86</v>
      </c>
      <c r="Z49" s="8" t="s">
        <v>87</v>
      </c>
      <c r="AA49" s="12" t="s">
        <v>115</v>
      </c>
      <c r="AB49" s="130"/>
      <c r="AC49" s="139"/>
      <c r="AD49" s="139"/>
    </row>
    <row r="50">
      <c r="A50" s="46">
        <v>7.0</v>
      </c>
      <c r="B50" s="46" t="s">
        <v>117</v>
      </c>
      <c r="C50" s="68" t="s">
        <v>118</v>
      </c>
      <c r="D50" s="56">
        <v>106.0</v>
      </c>
      <c r="E50" s="46">
        <v>1.0</v>
      </c>
      <c r="F50" s="9" t="str">
        <f t="shared" si="1"/>
        <v>FL</v>
      </c>
      <c r="G50" s="7" t="str">
        <f t="shared" si="2"/>
        <v>ALN106-A-1-FL</v>
      </c>
      <c r="H50" s="51" t="s">
        <v>119</v>
      </c>
      <c r="I50" s="46" t="s">
        <v>294</v>
      </c>
      <c r="J50" s="51" t="s">
        <v>295</v>
      </c>
      <c r="K50" s="141">
        <v>170.0</v>
      </c>
      <c r="L50" s="7">
        <v>1449000.0</v>
      </c>
      <c r="M50" s="51" t="s">
        <v>322</v>
      </c>
      <c r="N50" s="142">
        <v>3.0</v>
      </c>
      <c r="O50" s="46">
        <v>4.0</v>
      </c>
      <c r="P50" s="143" t="s">
        <v>122</v>
      </c>
      <c r="Q50" s="11"/>
      <c r="R50" s="51" t="s">
        <v>314</v>
      </c>
      <c r="S50" s="8" t="s">
        <v>308</v>
      </c>
      <c r="T50" s="80"/>
      <c r="U50" s="80"/>
      <c r="V50" s="144">
        <v>45930.0</v>
      </c>
      <c r="W50" s="16" t="s">
        <v>323</v>
      </c>
      <c r="X50" s="139" t="s">
        <v>120</v>
      </c>
      <c r="Y50" s="18" t="s">
        <v>86</v>
      </c>
      <c r="Z50" s="8" t="s">
        <v>87</v>
      </c>
      <c r="AA50" s="12" t="s">
        <v>99</v>
      </c>
      <c r="AB50" s="130"/>
      <c r="AC50" s="139" t="s">
        <v>324</v>
      </c>
      <c r="AD50" s="139" t="s">
        <v>325</v>
      </c>
    </row>
    <row r="51">
      <c r="A51" s="46">
        <v>7.0</v>
      </c>
      <c r="B51" s="46" t="s">
        <v>117</v>
      </c>
      <c r="C51" s="68" t="s">
        <v>118</v>
      </c>
      <c r="D51" s="56">
        <v>106.0</v>
      </c>
      <c r="E51" s="46">
        <v>2.0</v>
      </c>
      <c r="F51" s="9" t="str">
        <f t="shared" si="1"/>
        <v>FL</v>
      </c>
      <c r="G51" s="7" t="str">
        <f t="shared" si="2"/>
        <v>ALN106-B-2-FL</v>
      </c>
      <c r="H51" s="51" t="s">
        <v>119</v>
      </c>
      <c r="I51" s="46" t="s">
        <v>303</v>
      </c>
      <c r="J51" s="51" t="s">
        <v>295</v>
      </c>
      <c r="K51" s="141">
        <v>170.0</v>
      </c>
      <c r="L51" s="7">
        <v>1399000.0</v>
      </c>
      <c r="M51" s="51" t="s">
        <v>322</v>
      </c>
      <c r="N51" s="142">
        <v>3.0</v>
      </c>
      <c r="O51" s="46">
        <v>4.0</v>
      </c>
      <c r="P51" s="143" t="s">
        <v>122</v>
      </c>
      <c r="Q51" s="11"/>
      <c r="R51" s="51" t="s">
        <v>314</v>
      </c>
      <c r="S51" s="8" t="s">
        <v>308</v>
      </c>
      <c r="T51" s="80"/>
      <c r="U51" s="80"/>
      <c r="V51" s="144">
        <v>45930.0</v>
      </c>
      <c r="W51" s="16"/>
      <c r="X51" s="139" t="s">
        <v>120</v>
      </c>
      <c r="Y51" s="18" t="s">
        <v>86</v>
      </c>
      <c r="Z51" s="8" t="s">
        <v>87</v>
      </c>
      <c r="AA51" s="12" t="s">
        <v>99</v>
      </c>
      <c r="AB51" s="130"/>
      <c r="AC51" s="139" t="s">
        <v>324</v>
      </c>
      <c r="AD51" s="139" t="s">
        <v>326</v>
      </c>
    </row>
    <row r="52">
      <c r="A52" s="53">
        <v>8.0</v>
      </c>
      <c r="B52" s="53" t="s">
        <v>123</v>
      </c>
      <c r="C52" s="12" t="s">
        <v>118</v>
      </c>
      <c r="D52" s="53">
        <v>108.0</v>
      </c>
      <c r="E52" s="145" t="s">
        <v>292</v>
      </c>
      <c r="F52" s="9" t="str">
        <f t="shared" si="1"/>
        <v>FL</v>
      </c>
      <c r="G52" s="7" t="str">
        <f t="shared" si="2"/>
        <v>ALN108-1-1-FL</v>
      </c>
      <c r="H52" s="12" t="s">
        <v>124</v>
      </c>
      <c r="I52" s="53">
        <v>1.0</v>
      </c>
      <c r="J52" s="8" t="s">
        <v>295</v>
      </c>
      <c r="K52" s="136">
        <v>154.0</v>
      </c>
      <c r="L52" s="7">
        <v>1599000.0</v>
      </c>
      <c r="M52" s="12" t="s">
        <v>322</v>
      </c>
      <c r="N52" s="11">
        <v>3.0</v>
      </c>
      <c r="O52" s="7">
        <v>3.0</v>
      </c>
      <c r="P52" s="12" t="s">
        <v>327</v>
      </c>
      <c r="Q52" s="53">
        <v>47.0</v>
      </c>
      <c r="R52" s="12" t="s">
        <v>314</v>
      </c>
      <c r="S52" s="8" t="s">
        <v>298</v>
      </c>
      <c r="T52" s="13"/>
      <c r="U52" s="14"/>
      <c r="V52" s="144">
        <v>45991.0</v>
      </c>
      <c r="W52" s="16"/>
      <c r="X52" s="146" t="s">
        <v>125</v>
      </c>
      <c r="Y52" s="18" t="s">
        <v>86</v>
      </c>
      <c r="Z52" s="8" t="s">
        <v>87</v>
      </c>
      <c r="AA52" s="12" t="s">
        <v>126</v>
      </c>
      <c r="AB52" s="130"/>
      <c r="AC52" s="17" t="s">
        <v>328</v>
      </c>
      <c r="AD52" s="17" t="s">
        <v>329</v>
      </c>
    </row>
    <row r="53">
      <c r="A53" s="147">
        <v>8.0</v>
      </c>
      <c r="B53" s="53" t="s">
        <v>123</v>
      </c>
      <c r="C53" s="148" t="s">
        <v>118</v>
      </c>
      <c r="D53" s="147">
        <v>108.0</v>
      </c>
      <c r="E53" s="149" t="s">
        <v>299</v>
      </c>
      <c r="F53" s="9" t="str">
        <f t="shared" si="1"/>
        <v>FL</v>
      </c>
      <c r="G53" s="7" t="str">
        <f t="shared" si="2"/>
        <v>ALN108-1-2-FL</v>
      </c>
      <c r="H53" s="148" t="s">
        <v>124</v>
      </c>
      <c r="I53" s="150">
        <v>1.0</v>
      </c>
      <c r="J53" s="148" t="s">
        <v>295</v>
      </c>
      <c r="K53" s="151">
        <v>169.0</v>
      </c>
      <c r="L53" s="7">
        <v>1399000.0</v>
      </c>
      <c r="M53" s="152" t="s">
        <v>322</v>
      </c>
      <c r="N53" s="153">
        <v>3.0</v>
      </c>
      <c r="O53" s="154">
        <v>5.0</v>
      </c>
      <c r="P53" s="152" t="s">
        <v>330</v>
      </c>
      <c r="Q53" s="150">
        <v>21.0</v>
      </c>
      <c r="R53" s="152" t="s">
        <v>314</v>
      </c>
      <c r="S53" s="152" t="s">
        <v>308</v>
      </c>
      <c r="T53" s="155"/>
      <c r="U53" s="155"/>
      <c r="V53" s="156">
        <v>45991.0</v>
      </c>
      <c r="W53" s="157"/>
      <c r="X53" s="146" t="s">
        <v>125</v>
      </c>
      <c r="Y53" s="158" t="s">
        <v>86</v>
      </c>
      <c r="Z53" s="159" t="s">
        <v>87</v>
      </c>
      <c r="AA53" s="12" t="s">
        <v>126</v>
      </c>
      <c r="AB53" s="130"/>
      <c r="AC53" s="160" t="s">
        <v>328</v>
      </c>
      <c r="AD53" s="160" t="s">
        <v>331</v>
      </c>
    </row>
    <row r="54">
      <c r="A54" s="147">
        <v>8.0</v>
      </c>
      <c r="B54" s="53" t="s">
        <v>123</v>
      </c>
      <c r="C54" s="148" t="s">
        <v>118</v>
      </c>
      <c r="D54" s="147">
        <v>108.0</v>
      </c>
      <c r="E54" s="149" t="s">
        <v>292</v>
      </c>
      <c r="F54" s="9" t="str">
        <f t="shared" si="1"/>
        <v>FL</v>
      </c>
      <c r="G54" s="7" t="str">
        <f t="shared" si="2"/>
        <v>ALN108-2-1-FL</v>
      </c>
      <c r="H54" s="148" t="s">
        <v>124</v>
      </c>
      <c r="I54" s="150">
        <v>2.0</v>
      </c>
      <c r="J54" s="148" t="s">
        <v>295</v>
      </c>
      <c r="K54" s="151">
        <v>155.0</v>
      </c>
      <c r="L54" s="7">
        <v>1599000.0</v>
      </c>
      <c r="M54" s="152" t="s">
        <v>322</v>
      </c>
      <c r="N54" s="153">
        <v>3.0</v>
      </c>
      <c r="O54" s="161">
        <v>3.0</v>
      </c>
      <c r="P54" s="152" t="s">
        <v>332</v>
      </c>
      <c r="Q54" s="150">
        <v>47.0</v>
      </c>
      <c r="R54" s="152" t="s">
        <v>314</v>
      </c>
      <c r="S54" s="152" t="s">
        <v>298</v>
      </c>
      <c r="T54" s="155"/>
      <c r="U54" s="155"/>
      <c r="V54" s="156">
        <v>45991.0</v>
      </c>
      <c r="W54" s="157"/>
      <c r="X54" s="146" t="s">
        <v>125</v>
      </c>
      <c r="Y54" s="158" t="s">
        <v>86</v>
      </c>
      <c r="Z54" s="159" t="s">
        <v>87</v>
      </c>
      <c r="AA54" s="12" t="s">
        <v>126</v>
      </c>
      <c r="AB54" s="130"/>
      <c r="AC54" s="160" t="s">
        <v>328</v>
      </c>
      <c r="AD54" s="160" t="s">
        <v>333</v>
      </c>
    </row>
    <row r="55">
      <c r="A55" s="147">
        <v>8.0</v>
      </c>
      <c r="B55" s="53" t="s">
        <v>123</v>
      </c>
      <c r="C55" s="148" t="s">
        <v>118</v>
      </c>
      <c r="D55" s="147">
        <v>108.0</v>
      </c>
      <c r="E55" s="149" t="s">
        <v>299</v>
      </c>
      <c r="F55" s="9" t="str">
        <f t="shared" si="1"/>
        <v>FL</v>
      </c>
      <c r="G55" s="7" t="str">
        <f t="shared" si="2"/>
        <v>ALN108-2-2-FL</v>
      </c>
      <c r="H55" s="148" t="s">
        <v>124</v>
      </c>
      <c r="I55" s="150">
        <v>2.0</v>
      </c>
      <c r="J55" s="148" t="s">
        <v>295</v>
      </c>
      <c r="K55" s="151">
        <v>170.0</v>
      </c>
      <c r="L55" s="7">
        <v>1349000.0</v>
      </c>
      <c r="M55" s="152" t="s">
        <v>322</v>
      </c>
      <c r="N55" s="153">
        <v>3.0</v>
      </c>
      <c r="O55" s="154">
        <v>4.0</v>
      </c>
      <c r="P55" s="152" t="s">
        <v>334</v>
      </c>
      <c r="Q55" s="155"/>
      <c r="R55" s="152" t="s">
        <v>314</v>
      </c>
      <c r="S55" s="152" t="s">
        <v>308</v>
      </c>
      <c r="T55" s="155"/>
      <c r="U55" s="155"/>
      <c r="V55" s="156">
        <v>45991.0</v>
      </c>
      <c r="W55" s="157"/>
      <c r="X55" s="146" t="s">
        <v>125</v>
      </c>
      <c r="Y55" s="158" t="s">
        <v>86</v>
      </c>
      <c r="Z55" s="159" t="s">
        <v>87</v>
      </c>
      <c r="AA55" s="12" t="s">
        <v>126</v>
      </c>
      <c r="AB55" s="130"/>
      <c r="AC55" s="160" t="s">
        <v>328</v>
      </c>
      <c r="AD55" s="160" t="s">
        <v>335</v>
      </c>
    </row>
    <row r="56">
      <c r="A56" s="147">
        <v>8.0</v>
      </c>
      <c r="B56" s="53" t="s">
        <v>123</v>
      </c>
      <c r="C56" s="148" t="s">
        <v>118</v>
      </c>
      <c r="D56" s="147">
        <v>108.0</v>
      </c>
      <c r="E56" s="149" t="s">
        <v>292</v>
      </c>
      <c r="F56" s="9" t="str">
        <f t="shared" si="1"/>
        <v>FL</v>
      </c>
      <c r="G56" s="7" t="str">
        <f t="shared" si="2"/>
        <v>ALN108-3-1-FL</v>
      </c>
      <c r="H56" s="148" t="s">
        <v>124</v>
      </c>
      <c r="I56" s="150">
        <v>3.0</v>
      </c>
      <c r="J56" s="148" t="s">
        <v>295</v>
      </c>
      <c r="K56" s="151">
        <v>165.0</v>
      </c>
      <c r="L56" s="7">
        <v>1699000.0</v>
      </c>
      <c r="M56" s="152" t="s">
        <v>322</v>
      </c>
      <c r="N56" s="153">
        <v>3.0</v>
      </c>
      <c r="O56" s="154">
        <v>4.0</v>
      </c>
      <c r="P56" s="152" t="s">
        <v>336</v>
      </c>
      <c r="Q56" s="150">
        <v>65.0</v>
      </c>
      <c r="R56" s="152" t="s">
        <v>314</v>
      </c>
      <c r="S56" s="152" t="s">
        <v>298</v>
      </c>
      <c r="T56" s="155"/>
      <c r="U56" s="155"/>
      <c r="V56" s="156">
        <v>45991.0</v>
      </c>
      <c r="W56" s="157"/>
      <c r="X56" s="146" t="s">
        <v>125</v>
      </c>
      <c r="Y56" s="158" t="s">
        <v>86</v>
      </c>
      <c r="Z56" s="159" t="s">
        <v>87</v>
      </c>
      <c r="AA56" s="12" t="s">
        <v>126</v>
      </c>
      <c r="AB56" s="130"/>
      <c r="AC56" s="160" t="s">
        <v>328</v>
      </c>
      <c r="AD56" s="160" t="s">
        <v>337</v>
      </c>
    </row>
    <row r="57">
      <c r="A57" s="147">
        <v>8.0</v>
      </c>
      <c r="B57" s="53" t="s">
        <v>123</v>
      </c>
      <c r="C57" s="148" t="s">
        <v>118</v>
      </c>
      <c r="D57" s="147">
        <v>108.0</v>
      </c>
      <c r="E57" s="149" t="s">
        <v>299</v>
      </c>
      <c r="F57" s="9" t="str">
        <f t="shared" si="1"/>
        <v>FL</v>
      </c>
      <c r="G57" s="7" t="str">
        <f t="shared" si="2"/>
        <v>ALN108-3-2-FL</v>
      </c>
      <c r="H57" s="148" t="s">
        <v>124</v>
      </c>
      <c r="I57" s="150">
        <v>3.0</v>
      </c>
      <c r="J57" s="148" t="s">
        <v>295</v>
      </c>
      <c r="K57" s="151">
        <v>179.0</v>
      </c>
      <c r="L57" s="7">
        <v>1549000.0</v>
      </c>
      <c r="M57" s="152" t="s">
        <v>322</v>
      </c>
      <c r="N57" s="153">
        <v>3.0</v>
      </c>
      <c r="O57" s="154">
        <v>5.0</v>
      </c>
      <c r="P57" s="152" t="s">
        <v>338</v>
      </c>
      <c r="Q57" s="150">
        <v>11.0</v>
      </c>
      <c r="R57" s="152" t="s">
        <v>314</v>
      </c>
      <c r="S57" s="152" t="s">
        <v>308</v>
      </c>
      <c r="T57" s="155"/>
      <c r="U57" s="155"/>
      <c r="V57" s="156">
        <v>45991.0</v>
      </c>
      <c r="W57" s="157"/>
      <c r="X57" s="146" t="s">
        <v>125</v>
      </c>
      <c r="Y57" s="158" t="s">
        <v>86</v>
      </c>
      <c r="Z57" s="159" t="s">
        <v>87</v>
      </c>
      <c r="AA57" s="12" t="s">
        <v>126</v>
      </c>
      <c r="AB57" s="130"/>
      <c r="AC57" s="160" t="s">
        <v>328</v>
      </c>
      <c r="AD57" s="160" t="s">
        <v>339</v>
      </c>
    </row>
    <row r="58">
      <c r="A58" s="53">
        <v>9.0</v>
      </c>
      <c r="B58" s="53" t="s">
        <v>129</v>
      </c>
      <c r="C58" s="12" t="s">
        <v>118</v>
      </c>
      <c r="D58" s="53">
        <v>120.0</v>
      </c>
      <c r="E58" s="162">
        <v>3.0</v>
      </c>
      <c r="F58" s="9" t="str">
        <f t="shared" si="1"/>
        <v>AP</v>
      </c>
      <c r="G58" s="7" t="str">
        <f t="shared" si="2"/>
        <v>ALN120-1-3-AP</v>
      </c>
      <c r="H58" s="12" t="s">
        <v>130</v>
      </c>
      <c r="I58" s="53">
        <v>1.0</v>
      </c>
      <c r="J58" s="8" t="s">
        <v>301</v>
      </c>
      <c r="K58" s="136">
        <v>136.0</v>
      </c>
      <c r="L58" s="7">
        <v>2149000.0</v>
      </c>
      <c r="M58" s="12" t="s">
        <v>322</v>
      </c>
      <c r="N58" s="11">
        <v>3.0</v>
      </c>
      <c r="O58" s="7">
        <v>3.0</v>
      </c>
      <c r="P58" s="12" t="s">
        <v>340</v>
      </c>
      <c r="Q58" s="53">
        <v>53.0</v>
      </c>
      <c r="R58" s="12" t="s">
        <v>314</v>
      </c>
      <c r="S58" s="8" t="s">
        <v>298</v>
      </c>
      <c r="T58" s="13"/>
      <c r="U58" s="14"/>
      <c r="V58" s="163" t="s">
        <v>341</v>
      </c>
      <c r="W58" s="16"/>
      <c r="X58" s="146" t="s">
        <v>131</v>
      </c>
      <c r="Y58" s="18" t="s">
        <v>86</v>
      </c>
      <c r="Z58" s="8" t="s">
        <v>87</v>
      </c>
      <c r="AA58" s="12" t="s">
        <v>132</v>
      </c>
      <c r="AB58" s="130"/>
      <c r="AC58" s="17" t="s">
        <v>342</v>
      </c>
      <c r="AD58" s="17" t="s">
        <v>343</v>
      </c>
    </row>
    <row r="59">
      <c r="A59" s="53">
        <v>9.0</v>
      </c>
      <c r="B59" s="53" t="s">
        <v>129</v>
      </c>
      <c r="C59" s="12" t="s">
        <v>118</v>
      </c>
      <c r="D59" s="53">
        <v>120.0</v>
      </c>
      <c r="E59" s="164">
        <v>6.0</v>
      </c>
      <c r="F59" s="9" t="str">
        <f t="shared" si="1"/>
        <v>AP</v>
      </c>
      <c r="G59" s="7" t="str">
        <f t="shared" si="2"/>
        <v>ALN120-2-6-AP</v>
      </c>
      <c r="H59" s="12" t="s">
        <v>130</v>
      </c>
      <c r="I59" s="150">
        <v>2.0</v>
      </c>
      <c r="J59" s="8" t="s">
        <v>301</v>
      </c>
      <c r="K59" s="151">
        <v>136.0</v>
      </c>
      <c r="L59" s="7">
        <v>1989000.0</v>
      </c>
      <c r="M59" s="152" t="s">
        <v>322</v>
      </c>
      <c r="N59" s="153">
        <v>3.0</v>
      </c>
      <c r="O59" s="154">
        <v>3.0</v>
      </c>
      <c r="P59" s="152" t="s">
        <v>344</v>
      </c>
      <c r="Q59" s="150"/>
      <c r="R59" s="152" t="s">
        <v>314</v>
      </c>
      <c r="S59" s="152" t="s">
        <v>308</v>
      </c>
      <c r="T59" s="155"/>
      <c r="U59" s="155"/>
      <c r="V59" s="165" t="s">
        <v>341</v>
      </c>
      <c r="W59" s="157" t="s">
        <v>345</v>
      </c>
      <c r="X59" s="146" t="s">
        <v>131</v>
      </c>
      <c r="Y59" s="158" t="s">
        <v>86</v>
      </c>
      <c r="Z59" s="159" t="s">
        <v>87</v>
      </c>
      <c r="AA59" s="12" t="s">
        <v>132</v>
      </c>
      <c r="AB59" s="130"/>
      <c r="AC59" s="17" t="s">
        <v>342</v>
      </c>
      <c r="AD59" s="160" t="s">
        <v>346</v>
      </c>
    </row>
    <row r="60">
      <c r="A60" s="53">
        <v>9.0</v>
      </c>
      <c r="B60" s="53" t="s">
        <v>129</v>
      </c>
      <c r="C60" s="12" t="s">
        <v>118</v>
      </c>
      <c r="D60" s="53">
        <v>120.0</v>
      </c>
      <c r="E60" s="164">
        <v>7.0</v>
      </c>
      <c r="F60" s="9" t="str">
        <f t="shared" si="1"/>
        <v>AP</v>
      </c>
      <c r="G60" s="7" t="str">
        <f t="shared" si="2"/>
        <v>ALN120-2-7-AP</v>
      </c>
      <c r="H60" s="12" t="s">
        <v>130</v>
      </c>
      <c r="I60" s="150">
        <v>2.0</v>
      </c>
      <c r="J60" s="8" t="s">
        <v>301</v>
      </c>
      <c r="K60" s="151">
        <v>136.0</v>
      </c>
      <c r="L60" s="7">
        <v>1939000.0</v>
      </c>
      <c r="M60" s="152" t="s">
        <v>322</v>
      </c>
      <c r="N60" s="166">
        <v>3.0</v>
      </c>
      <c r="O60" s="161">
        <v>3.0</v>
      </c>
      <c r="P60" s="152" t="s">
        <v>347</v>
      </c>
      <c r="Q60" s="150"/>
      <c r="R60" s="12" t="s">
        <v>314</v>
      </c>
      <c r="S60" s="152" t="s">
        <v>308</v>
      </c>
      <c r="T60" s="155"/>
      <c r="U60" s="155"/>
      <c r="V60" s="165" t="s">
        <v>341</v>
      </c>
      <c r="W60" s="157"/>
      <c r="X60" s="146" t="s">
        <v>131</v>
      </c>
      <c r="Y60" s="158" t="s">
        <v>86</v>
      </c>
      <c r="Z60" s="159" t="s">
        <v>87</v>
      </c>
      <c r="AA60" s="12" t="s">
        <v>132</v>
      </c>
      <c r="AB60" s="130"/>
      <c r="AC60" s="17" t="s">
        <v>342</v>
      </c>
      <c r="AD60" s="160" t="s">
        <v>348</v>
      </c>
    </row>
    <row r="61">
      <c r="A61" s="53">
        <v>9.0</v>
      </c>
      <c r="B61" s="53" t="s">
        <v>129</v>
      </c>
      <c r="C61" s="12" t="s">
        <v>118</v>
      </c>
      <c r="D61" s="53">
        <v>120.0</v>
      </c>
      <c r="E61" s="164">
        <v>8.0</v>
      </c>
      <c r="F61" s="9" t="str">
        <f t="shared" si="1"/>
        <v>AP</v>
      </c>
      <c r="G61" s="7" t="str">
        <f t="shared" si="2"/>
        <v>ALN120-2-8-AP</v>
      </c>
      <c r="H61" s="12" t="s">
        <v>130</v>
      </c>
      <c r="I61" s="150">
        <v>2.0</v>
      </c>
      <c r="J61" s="8" t="s">
        <v>301</v>
      </c>
      <c r="K61" s="151">
        <v>136.0</v>
      </c>
      <c r="L61" s="7">
        <v>1939000.0</v>
      </c>
      <c r="M61" s="152" t="s">
        <v>322</v>
      </c>
      <c r="N61" s="166">
        <v>3.0</v>
      </c>
      <c r="O61" s="161">
        <v>3.0</v>
      </c>
      <c r="P61" s="152" t="s">
        <v>347</v>
      </c>
      <c r="Q61" s="150"/>
      <c r="R61" s="12" t="s">
        <v>314</v>
      </c>
      <c r="S61" s="152" t="s">
        <v>308</v>
      </c>
      <c r="T61" s="155"/>
      <c r="U61" s="155"/>
      <c r="V61" s="165" t="s">
        <v>341</v>
      </c>
      <c r="W61" s="157"/>
      <c r="X61" s="146" t="s">
        <v>131</v>
      </c>
      <c r="Y61" s="158" t="s">
        <v>86</v>
      </c>
      <c r="Z61" s="159" t="s">
        <v>87</v>
      </c>
      <c r="AA61" s="12" t="s">
        <v>132</v>
      </c>
      <c r="AB61" s="130"/>
      <c r="AC61" s="17" t="s">
        <v>342</v>
      </c>
      <c r="AD61" s="160" t="s">
        <v>349</v>
      </c>
    </row>
    <row r="62">
      <c r="A62" s="53">
        <v>9.0</v>
      </c>
      <c r="B62" s="53" t="s">
        <v>129</v>
      </c>
      <c r="C62" s="12" t="s">
        <v>118</v>
      </c>
      <c r="D62" s="53">
        <v>120.0</v>
      </c>
      <c r="E62" s="164">
        <v>9.0</v>
      </c>
      <c r="F62" s="9" t="str">
        <f t="shared" si="1"/>
        <v>AP</v>
      </c>
      <c r="G62" s="7" t="str">
        <f t="shared" si="2"/>
        <v>ALN120-3-9-AP</v>
      </c>
      <c r="H62" s="12" t="s">
        <v>130</v>
      </c>
      <c r="I62" s="150">
        <v>3.0</v>
      </c>
      <c r="J62" s="8" t="s">
        <v>301</v>
      </c>
      <c r="K62" s="151">
        <v>136.0</v>
      </c>
      <c r="L62" s="7">
        <v>1989000.0</v>
      </c>
      <c r="M62" s="152" t="s">
        <v>322</v>
      </c>
      <c r="N62" s="166">
        <v>3.0</v>
      </c>
      <c r="O62" s="154">
        <v>3.0</v>
      </c>
      <c r="P62" s="152" t="s">
        <v>350</v>
      </c>
      <c r="Q62" s="150"/>
      <c r="R62" s="12" t="s">
        <v>314</v>
      </c>
      <c r="S62" s="152" t="s">
        <v>318</v>
      </c>
      <c r="T62" s="155"/>
      <c r="U62" s="155"/>
      <c r="V62" s="165" t="s">
        <v>341</v>
      </c>
      <c r="W62" s="157" t="s">
        <v>345</v>
      </c>
      <c r="X62" s="146" t="s">
        <v>131</v>
      </c>
      <c r="Y62" s="158" t="s">
        <v>86</v>
      </c>
      <c r="Z62" s="159" t="s">
        <v>87</v>
      </c>
      <c r="AA62" s="12" t="s">
        <v>132</v>
      </c>
      <c r="AB62" s="130"/>
      <c r="AC62" s="17" t="s">
        <v>342</v>
      </c>
      <c r="AD62" s="160" t="s">
        <v>351</v>
      </c>
    </row>
    <row r="63">
      <c r="A63" s="53">
        <v>9.0</v>
      </c>
      <c r="B63" s="53" t="s">
        <v>129</v>
      </c>
      <c r="C63" s="12" t="s">
        <v>118</v>
      </c>
      <c r="D63" s="53">
        <v>120.0</v>
      </c>
      <c r="E63" s="164">
        <v>12.0</v>
      </c>
      <c r="F63" s="9" t="str">
        <f t="shared" si="1"/>
        <v>AP</v>
      </c>
      <c r="G63" s="7" t="str">
        <f t="shared" si="2"/>
        <v>ALN120-3-12-AP</v>
      </c>
      <c r="H63" s="12" t="s">
        <v>130</v>
      </c>
      <c r="I63" s="150">
        <v>3.0</v>
      </c>
      <c r="J63" s="8" t="s">
        <v>301</v>
      </c>
      <c r="K63" s="151">
        <v>136.0</v>
      </c>
      <c r="L63" s="7">
        <v>1799000.0</v>
      </c>
      <c r="M63" s="152" t="s">
        <v>322</v>
      </c>
      <c r="N63" s="166">
        <v>3.0</v>
      </c>
      <c r="O63" s="154">
        <v>3.0</v>
      </c>
      <c r="P63" s="152" t="s">
        <v>350</v>
      </c>
      <c r="Q63" s="150"/>
      <c r="R63" s="12" t="s">
        <v>314</v>
      </c>
      <c r="S63" s="152" t="s">
        <v>318</v>
      </c>
      <c r="T63" s="155"/>
      <c r="U63" s="155"/>
      <c r="V63" s="165" t="s">
        <v>341</v>
      </c>
      <c r="W63" s="157"/>
      <c r="X63" s="146" t="s">
        <v>131</v>
      </c>
      <c r="Y63" s="158" t="s">
        <v>86</v>
      </c>
      <c r="Z63" s="159" t="s">
        <v>87</v>
      </c>
      <c r="AA63" s="12" t="s">
        <v>132</v>
      </c>
      <c r="AB63" s="130"/>
      <c r="AC63" s="17" t="s">
        <v>342</v>
      </c>
      <c r="AD63" s="160" t="s">
        <v>352</v>
      </c>
    </row>
    <row r="64">
      <c r="A64" s="56">
        <v>10.0</v>
      </c>
      <c r="B64" s="56" t="s">
        <v>135</v>
      </c>
      <c r="C64" s="167" t="s">
        <v>136</v>
      </c>
      <c r="D64" s="167">
        <v>21.0</v>
      </c>
      <c r="E64" s="62">
        <v>1.0</v>
      </c>
      <c r="F64" s="9" t="str">
        <f t="shared" si="1"/>
        <v>FL</v>
      </c>
      <c r="G64" s="7" t="str">
        <f t="shared" si="2"/>
        <v>AIN21-B-1-FL</v>
      </c>
      <c r="H64" s="68" t="s">
        <v>353</v>
      </c>
      <c r="I64" s="62" t="s">
        <v>303</v>
      </c>
      <c r="J64" s="78" t="s">
        <v>295</v>
      </c>
      <c r="K64" s="168" t="s">
        <v>310</v>
      </c>
      <c r="L64" s="7" t="s">
        <v>310</v>
      </c>
      <c r="M64" s="62" t="s">
        <v>306</v>
      </c>
      <c r="N64" s="169">
        <v>3.0</v>
      </c>
      <c r="O64" s="130"/>
      <c r="P64" s="130"/>
      <c r="Q64" s="130"/>
      <c r="R64" s="130"/>
      <c r="S64" s="62" t="s">
        <v>298</v>
      </c>
      <c r="T64" s="60" t="s">
        <v>354</v>
      </c>
      <c r="U64" s="80"/>
      <c r="V64" s="170"/>
      <c r="W64" s="130"/>
      <c r="X64" s="171" t="s">
        <v>138</v>
      </c>
      <c r="Y64" s="60" t="s">
        <v>86</v>
      </c>
      <c r="Z64" s="9" t="s">
        <v>87</v>
      </c>
      <c r="AA64" s="167" t="s">
        <v>139</v>
      </c>
      <c r="AB64" s="130"/>
      <c r="AC64" s="130"/>
      <c r="AD64" s="130"/>
    </row>
    <row r="65">
      <c r="A65" s="56">
        <v>10.0</v>
      </c>
      <c r="B65" s="56" t="s">
        <v>135</v>
      </c>
      <c r="C65" s="167" t="s">
        <v>136</v>
      </c>
      <c r="D65" s="167">
        <v>21.0</v>
      </c>
      <c r="E65" s="62">
        <v>2.0</v>
      </c>
      <c r="F65" s="9" t="str">
        <f t="shared" si="1"/>
        <v>FL</v>
      </c>
      <c r="G65" s="7" t="str">
        <f t="shared" si="2"/>
        <v>AIN21-B-2-FL</v>
      </c>
      <c r="H65" s="68" t="s">
        <v>353</v>
      </c>
      <c r="I65" s="62" t="s">
        <v>303</v>
      </c>
      <c r="J65" s="78" t="s">
        <v>295</v>
      </c>
      <c r="K65" s="172">
        <v>200.0</v>
      </c>
      <c r="L65" s="7">
        <v>1555000.0</v>
      </c>
      <c r="M65" s="62" t="s">
        <v>296</v>
      </c>
      <c r="N65" s="169">
        <v>3.0</v>
      </c>
      <c r="O65" s="130"/>
      <c r="P65" s="130"/>
      <c r="Q65" s="130"/>
      <c r="R65" s="130"/>
      <c r="S65" s="62" t="s">
        <v>308</v>
      </c>
      <c r="T65" s="60" t="s">
        <v>354</v>
      </c>
      <c r="U65" s="80"/>
      <c r="V65" s="170"/>
      <c r="W65" s="130"/>
      <c r="X65" s="171" t="s">
        <v>138</v>
      </c>
      <c r="Y65" s="60" t="s">
        <v>86</v>
      </c>
      <c r="Z65" s="9" t="s">
        <v>87</v>
      </c>
      <c r="AA65" s="167" t="s">
        <v>139</v>
      </c>
      <c r="AB65" s="130"/>
      <c r="AC65" s="130"/>
      <c r="AD65" s="130"/>
    </row>
    <row r="66">
      <c r="A66" s="56">
        <v>10.0</v>
      </c>
      <c r="B66" s="56" t="s">
        <v>135</v>
      </c>
      <c r="C66" s="167" t="s">
        <v>136</v>
      </c>
      <c r="D66" s="167">
        <v>21.0</v>
      </c>
      <c r="E66" s="62">
        <v>3.0</v>
      </c>
      <c r="F66" s="9" t="str">
        <f t="shared" si="1"/>
        <v>FL</v>
      </c>
      <c r="G66" s="7" t="str">
        <f t="shared" si="2"/>
        <v>AIN21-B-3-FL</v>
      </c>
      <c r="H66" s="68" t="s">
        <v>353</v>
      </c>
      <c r="I66" s="62" t="s">
        <v>303</v>
      </c>
      <c r="J66" s="78" t="s">
        <v>295</v>
      </c>
      <c r="K66" s="172">
        <v>188.0</v>
      </c>
      <c r="L66" s="7">
        <v>1245000.0</v>
      </c>
      <c r="M66" s="62" t="s">
        <v>296</v>
      </c>
      <c r="N66" s="169">
        <v>3.0</v>
      </c>
      <c r="O66" s="130"/>
      <c r="P66" s="130"/>
      <c r="Q66" s="130"/>
      <c r="R66" s="130"/>
      <c r="S66" s="62" t="s">
        <v>318</v>
      </c>
      <c r="T66" s="60" t="s">
        <v>354</v>
      </c>
      <c r="U66" s="80"/>
      <c r="V66" s="170"/>
      <c r="W66" s="130"/>
      <c r="X66" s="171" t="s">
        <v>138</v>
      </c>
      <c r="Y66" s="60" t="s">
        <v>86</v>
      </c>
      <c r="Z66" s="9" t="s">
        <v>87</v>
      </c>
      <c r="AA66" s="167" t="s">
        <v>139</v>
      </c>
      <c r="AB66" s="130"/>
      <c r="AC66" s="130"/>
      <c r="AD66" s="130"/>
    </row>
    <row r="67">
      <c r="A67" s="56">
        <v>10.0</v>
      </c>
      <c r="B67" s="56" t="s">
        <v>135</v>
      </c>
      <c r="C67" s="167" t="s">
        <v>136</v>
      </c>
      <c r="D67" s="167">
        <v>21.0</v>
      </c>
      <c r="E67" s="62">
        <v>1.0</v>
      </c>
      <c r="F67" s="9" t="str">
        <f t="shared" si="1"/>
        <v>FL</v>
      </c>
      <c r="G67" s="7" t="str">
        <f t="shared" si="2"/>
        <v>AIN21-A-1-FL</v>
      </c>
      <c r="H67" s="68" t="s">
        <v>353</v>
      </c>
      <c r="I67" s="62" t="s">
        <v>294</v>
      </c>
      <c r="J67" s="78" t="s">
        <v>295</v>
      </c>
      <c r="K67" s="172">
        <v>243.0</v>
      </c>
      <c r="L67" s="7">
        <v>1855000.0</v>
      </c>
      <c r="M67" s="62" t="s">
        <v>296</v>
      </c>
      <c r="N67" s="169">
        <v>3.0</v>
      </c>
      <c r="O67" s="130"/>
      <c r="P67" s="130"/>
      <c r="Q67" s="130"/>
      <c r="R67" s="130"/>
      <c r="S67" s="62" t="s">
        <v>298</v>
      </c>
      <c r="T67" s="60" t="s">
        <v>355</v>
      </c>
      <c r="U67" s="80"/>
      <c r="V67" s="170"/>
      <c r="W67" s="130"/>
      <c r="X67" s="171" t="s">
        <v>138</v>
      </c>
      <c r="Y67" s="60" t="s">
        <v>86</v>
      </c>
      <c r="Z67" s="9" t="s">
        <v>87</v>
      </c>
      <c r="AA67" s="167" t="s">
        <v>139</v>
      </c>
      <c r="AB67" s="130"/>
      <c r="AC67" s="130"/>
      <c r="AD67" s="130"/>
    </row>
    <row r="68">
      <c r="A68" s="56">
        <v>10.0</v>
      </c>
      <c r="B68" s="56" t="s">
        <v>135</v>
      </c>
      <c r="C68" s="167" t="s">
        <v>136</v>
      </c>
      <c r="D68" s="167">
        <v>21.0</v>
      </c>
      <c r="E68" s="62">
        <v>2.0</v>
      </c>
      <c r="F68" s="9" t="str">
        <f t="shared" si="1"/>
        <v>FL</v>
      </c>
      <c r="G68" s="7" t="str">
        <f t="shared" si="2"/>
        <v>AIN21-A-2-FL</v>
      </c>
      <c r="H68" s="68" t="s">
        <v>353</v>
      </c>
      <c r="I68" s="62" t="s">
        <v>294</v>
      </c>
      <c r="J68" s="78" t="s">
        <v>295</v>
      </c>
      <c r="K68" s="172">
        <v>210.0</v>
      </c>
      <c r="L68" s="7">
        <v>1595000.0</v>
      </c>
      <c r="M68" s="62" t="s">
        <v>296</v>
      </c>
      <c r="N68" s="169">
        <v>3.0</v>
      </c>
      <c r="O68" s="130"/>
      <c r="P68" s="130"/>
      <c r="Q68" s="130"/>
      <c r="R68" s="130"/>
      <c r="S68" s="62" t="s">
        <v>308</v>
      </c>
      <c r="T68" s="60" t="s">
        <v>355</v>
      </c>
      <c r="U68" s="80"/>
      <c r="V68" s="170"/>
      <c r="W68" s="130"/>
      <c r="X68" s="171" t="s">
        <v>138</v>
      </c>
      <c r="Y68" s="60" t="s">
        <v>86</v>
      </c>
      <c r="Z68" s="9" t="s">
        <v>87</v>
      </c>
      <c r="AA68" s="167" t="s">
        <v>139</v>
      </c>
      <c r="AB68" s="130"/>
      <c r="AC68" s="130"/>
      <c r="AD68" s="130"/>
    </row>
    <row r="69">
      <c r="A69" s="56">
        <v>10.0</v>
      </c>
      <c r="B69" s="56" t="s">
        <v>135</v>
      </c>
      <c r="C69" s="167" t="s">
        <v>136</v>
      </c>
      <c r="D69" s="167">
        <v>21.0</v>
      </c>
      <c r="E69" s="62">
        <v>3.0</v>
      </c>
      <c r="F69" s="9" t="str">
        <f t="shared" si="1"/>
        <v>FL</v>
      </c>
      <c r="G69" s="7" t="str">
        <f t="shared" si="2"/>
        <v>AIN21-A-3-FL</v>
      </c>
      <c r="H69" s="68" t="s">
        <v>353</v>
      </c>
      <c r="I69" s="62" t="s">
        <v>294</v>
      </c>
      <c r="J69" s="78" t="s">
        <v>295</v>
      </c>
      <c r="K69" s="172">
        <v>188.0</v>
      </c>
      <c r="L69" s="7">
        <v>1285000.0</v>
      </c>
      <c r="M69" s="62" t="s">
        <v>296</v>
      </c>
      <c r="N69" s="169">
        <v>3.0</v>
      </c>
      <c r="O69" s="130"/>
      <c r="P69" s="130"/>
      <c r="Q69" s="130"/>
      <c r="R69" s="130"/>
      <c r="S69" s="62" t="s">
        <v>318</v>
      </c>
      <c r="T69" s="60" t="s">
        <v>355</v>
      </c>
      <c r="U69" s="80"/>
      <c r="V69" s="170"/>
      <c r="W69" s="130"/>
      <c r="X69" s="171" t="s">
        <v>138</v>
      </c>
      <c r="Y69" s="60" t="s">
        <v>86</v>
      </c>
      <c r="Z69" s="9" t="s">
        <v>87</v>
      </c>
      <c r="AA69" s="167" t="s">
        <v>139</v>
      </c>
      <c r="AB69" s="130"/>
      <c r="AC69" s="130"/>
      <c r="AD69" s="130"/>
    </row>
    <row r="70">
      <c r="A70" s="56">
        <v>11.0</v>
      </c>
      <c r="B70" s="56" t="s">
        <v>140</v>
      </c>
      <c r="C70" s="167" t="s">
        <v>141</v>
      </c>
      <c r="D70" s="130"/>
      <c r="E70" s="62">
        <v>1.0</v>
      </c>
      <c r="F70" s="9" t="str">
        <f t="shared" si="1"/>
        <v>VI</v>
      </c>
      <c r="G70" s="7" t="str">
        <f t="shared" si="2"/>
        <v>SER-A-1-VI</v>
      </c>
      <c r="H70" s="167" t="s">
        <v>142</v>
      </c>
      <c r="I70" s="62" t="s">
        <v>294</v>
      </c>
      <c r="J70" s="78" t="s">
        <v>313</v>
      </c>
      <c r="K70" s="173">
        <v>200.0</v>
      </c>
      <c r="L70" s="7">
        <v>2150000.0</v>
      </c>
      <c r="M70" s="62" t="s">
        <v>296</v>
      </c>
      <c r="N70" s="169">
        <v>5.0</v>
      </c>
      <c r="O70" s="62">
        <v>6.0</v>
      </c>
      <c r="P70" s="62" t="s">
        <v>145</v>
      </c>
      <c r="Q70" s="130"/>
      <c r="R70" s="167" t="s">
        <v>297</v>
      </c>
      <c r="S70" s="130"/>
      <c r="T70" s="80"/>
      <c r="U70" s="80"/>
      <c r="V70" s="170"/>
      <c r="W70" s="130"/>
      <c r="X70" s="171" t="s">
        <v>143</v>
      </c>
      <c r="Y70" s="60" t="s">
        <v>86</v>
      </c>
      <c r="Z70" s="9" t="s">
        <v>87</v>
      </c>
      <c r="AA70" s="167" t="s">
        <v>144</v>
      </c>
      <c r="AB70" s="130"/>
      <c r="AC70" s="130"/>
      <c r="AD70" s="130"/>
    </row>
    <row r="71">
      <c r="A71" s="56">
        <v>11.0</v>
      </c>
      <c r="B71" s="56" t="s">
        <v>140</v>
      </c>
      <c r="C71" s="167" t="s">
        <v>141</v>
      </c>
      <c r="D71" s="130"/>
      <c r="E71" s="62">
        <v>2.0</v>
      </c>
      <c r="F71" s="9" t="str">
        <f t="shared" si="1"/>
        <v>VI</v>
      </c>
      <c r="G71" s="7" t="str">
        <f t="shared" si="2"/>
        <v>SER-A-2-VI</v>
      </c>
      <c r="H71" s="167" t="s">
        <v>142</v>
      </c>
      <c r="I71" s="62" t="s">
        <v>294</v>
      </c>
      <c r="J71" s="78" t="s">
        <v>313</v>
      </c>
      <c r="K71" s="173">
        <v>200.0</v>
      </c>
      <c r="L71" s="7">
        <v>2150000.0</v>
      </c>
      <c r="M71" s="62" t="s">
        <v>296</v>
      </c>
      <c r="N71" s="169">
        <v>5.0</v>
      </c>
      <c r="O71" s="62">
        <v>6.0</v>
      </c>
      <c r="P71" s="62" t="s">
        <v>145</v>
      </c>
      <c r="Q71" s="130"/>
      <c r="R71" s="167" t="s">
        <v>297</v>
      </c>
      <c r="S71" s="130"/>
      <c r="T71" s="80"/>
      <c r="U71" s="80"/>
      <c r="V71" s="170"/>
      <c r="W71" s="130"/>
      <c r="X71" s="171" t="s">
        <v>143</v>
      </c>
      <c r="Y71" s="60" t="s">
        <v>86</v>
      </c>
      <c r="Z71" s="9" t="s">
        <v>87</v>
      </c>
      <c r="AA71" s="167" t="s">
        <v>144</v>
      </c>
      <c r="AB71" s="130"/>
      <c r="AC71" s="130"/>
      <c r="AD71" s="130"/>
    </row>
    <row r="72">
      <c r="A72" s="56">
        <v>11.0</v>
      </c>
      <c r="B72" s="56" t="s">
        <v>140</v>
      </c>
      <c r="C72" s="167" t="s">
        <v>141</v>
      </c>
      <c r="D72" s="130"/>
      <c r="E72" s="62">
        <v>3.0</v>
      </c>
      <c r="F72" s="9" t="str">
        <f t="shared" si="1"/>
        <v>VI</v>
      </c>
      <c r="G72" s="7" t="str">
        <f t="shared" si="2"/>
        <v>SER-A-3-VI</v>
      </c>
      <c r="H72" s="167" t="s">
        <v>142</v>
      </c>
      <c r="I72" s="62" t="s">
        <v>294</v>
      </c>
      <c r="J72" s="78" t="s">
        <v>313</v>
      </c>
      <c r="K72" s="173">
        <v>200.0</v>
      </c>
      <c r="L72" s="7">
        <v>2150000.0</v>
      </c>
      <c r="M72" s="62" t="s">
        <v>296</v>
      </c>
      <c r="N72" s="169">
        <v>5.0</v>
      </c>
      <c r="O72" s="62">
        <v>6.0</v>
      </c>
      <c r="P72" s="62" t="s">
        <v>145</v>
      </c>
      <c r="Q72" s="130"/>
      <c r="R72" s="167" t="s">
        <v>297</v>
      </c>
      <c r="S72" s="130"/>
      <c r="T72" s="80"/>
      <c r="U72" s="80"/>
      <c r="V72" s="170"/>
      <c r="W72" s="130"/>
      <c r="X72" s="171" t="s">
        <v>143</v>
      </c>
      <c r="Y72" s="60" t="s">
        <v>86</v>
      </c>
      <c r="Z72" s="9" t="s">
        <v>87</v>
      </c>
      <c r="AA72" s="167" t="s">
        <v>144</v>
      </c>
      <c r="AB72" s="130"/>
      <c r="AC72" s="130"/>
      <c r="AD72" s="130"/>
    </row>
    <row r="73">
      <c r="A73" s="56">
        <v>11.0</v>
      </c>
      <c r="B73" s="56" t="s">
        <v>140</v>
      </c>
      <c r="C73" s="167" t="s">
        <v>141</v>
      </c>
      <c r="D73" s="130"/>
      <c r="E73" s="62">
        <v>4.0</v>
      </c>
      <c r="F73" s="9" t="str">
        <f t="shared" si="1"/>
        <v>VI</v>
      </c>
      <c r="G73" s="7" t="str">
        <f t="shared" si="2"/>
        <v>SER-A-4-VI</v>
      </c>
      <c r="H73" s="167" t="s">
        <v>142</v>
      </c>
      <c r="I73" s="62" t="s">
        <v>294</v>
      </c>
      <c r="J73" s="78" t="s">
        <v>313</v>
      </c>
      <c r="K73" s="173">
        <v>200.0</v>
      </c>
      <c r="L73" s="7">
        <v>2150000.0</v>
      </c>
      <c r="M73" s="62" t="s">
        <v>296</v>
      </c>
      <c r="N73" s="169">
        <v>5.0</v>
      </c>
      <c r="O73" s="62">
        <v>6.0</v>
      </c>
      <c r="P73" s="62" t="s">
        <v>145</v>
      </c>
      <c r="Q73" s="130"/>
      <c r="R73" s="167" t="s">
        <v>297</v>
      </c>
      <c r="S73" s="130"/>
      <c r="T73" s="80"/>
      <c r="U73" s="80"/>
      <c r="V73" s="170"/>
      <c r="W73" s="130"/>
      <c r="X73" s="171" t="s">
        <v>143</v>
      </c>
      <c r="Y73" s="60" t="s">
        <v>86</v>
      </c>
      <c r="Z73" s="9" t="s">
        <v>87</v>
      </c>
      <c r="AA73" s="167" t="s">
        <v>144</v>
      </c>
      <c r="AB73" s="130"/>
      <c r="AC73" s="130"/>
      <c r="AD73" s="130"/>
    </row>
    <row r="74">
      <c r="A74" s="56">
        <v>11.0</v>
      </c>
      <c r="B74" s="56" t="s">
        <v>140</v>
      </c>
      <c r="C74" s="167" t="s">
        <v>141</v>
      </c>
      <c r="D74" s="130"/>
      <c r="E74" s="62">
        <v>5.0</v>
      </c>
      <c r="F74" s="9" t="str">
        <f t="shared" si="1"/>
        <v>VI</v>
      </c>
      <c r="G74" s="7" t="str">
        <f t="shared" si="2"/>
        <v>SER-A-5-VI</v>
      </c>
      <c r="H74" s="167" t="s">
        <v>142</v>
      </c>
      <c r="I74" s="62" t="s">
        <v>294</v>
      </c>
      <c r="J74" s="78" t="s">
        <v>313</v>
      </c>
      <c r="K74" s="173">
        <v>200.0</v>
      </c>
      <c r="L74" s="7">
        <v>2150000.0</v>
      </c>
      <c r="M74" s="62" t="s">
        <v>296</v>
      </c>
      <c r="N74" s="169">
        <v>5.0</v>
      </c>
      <c r="O74" s="62">
        <v>6.0</v>
      </c>
      <c r="P74" s="62" t="s">
        <v>145</v>
      </c>
      <c r="Q74" s="130"/>
      <c r="R74" s="167" t="s">
        <v>297</v>
      </c>
      <c r="S74" s="130"/>
      <c r="T74" s="80"/>
      <c r="U74" s="80"/>
      <c r="V74" s="170"/>
      <c r="W74" s="130"/>
      <c r="X74" s="171" t="s">
        <v>143</v>
      </c>
      <c r="Y74" s="60" t="s">
        <v>86</v>
      </c>
      <c r="Z74" s="9" t="s">
        <v>87</v>
      </c>
      <c r="AA74" s="167" t="s">
        <v>144</v>
      </c>
      <c r="AB74" s="130"/>
      <c r="AC74" s="130"/>
      <c r="AD74" s="130"/>
    </row>
    <row r="75">
      <c r="A75" s="56">
        <v>11.0</v>
      </c>
      <c r="B75" s="56" t="s">
        <v>140</v>
      </c>
      <c r="C75" s="167" t="s">
        <v>141</v>
      </c>
      <c r="D75" s="130"/>
      <c r="E75" s="62">
        <v>6.0</v>
      </c>
      <c r="F75" s="9" t="str">
        <f t="shared" si="1"/>
        <v>VI</v>
      </c>
      <c r="G75" s="7" t="str">
        <f t="shared" si="2"/>
        <v>SER-A-6-VI</v>
      </c>
      <c r="H75" s="167" t="s">
        <v>142</v>
      </c>
      <c r="I75" s="62" t="s">
        <v>294</v>
      </c>
      <c r="J75" s="78" t="s">
        <v>313</v>
      </c>
      <c r="K75" s="173">
        <v>200.0</v>
      </c>
      <c r="L75" s="7">
        <v>2150000.0</v>
      </c>
      <c r="M75" s="62" t="s">
        <v>296</v>
      </c>
      <c r="N75" s="169">
        <v>5.0</v>
      </c>
      <c r="O75" s="62">
        <v>6.0</v>
      </c>
      <c r="P75" s="62" t="s">
        <v>145</v>
      </c>
      <c r="Q75" s="130"/>
      <c r="R75" s="167" t="s">
        <v>297</v>
      </c>
      <c r="S75" s="130"/>
      <c r="T75" s="80"/>
      <c r="U75" s="80"/>
      <c r="V75" s="170"/>
      <c r="W75" s="130"/>
      <c r="X75" s="171" t="s">
        <v>143</v>
      </c>
      <c r="Y75" s="60" t="s">
        <v>86</v>
      </c>
      <c r="Z75" s="9" t="s">
        <v>87</v>
      </c>
      <c r="AA75" s="167" t="s">
        <v>144</v>
      </c>
      <c r="AB75" s="130"/>
      <c r="AC75" s="130"/>
      <c r="AD75" s="130"/>
    </row>
    <row r="76">
      <c r="A76" s="56">
        <v>11.0</v>
      </c>
      <c r="B76" s="56" t="s">
        <v>140</v>
      </c>
      <c r="C76" s="167" t="s">
        <v>141</v>
      </c>
      <c r="D76" s="130"/>
      <c r="E76" s="62">
        <v>7.0</v>
      </c>
      <c r="F76" s="9" t="str">
        <f t="shared" si="1"/>
        <v>VI</v>
      </c>
      <c r="G76" s="7" t="str">
        <f t="shared" si="2"/>
        <v>SER-A-7-VI</v>
      </c>
      <c r="H76" s="167" t="s">
        <v>142</v>
      </c>
      <c r="I76" s="62" t="s">
        <v>294</v>
      </c>
      <c r="J76" s="78" t="s">
        <v>313</v>
      </c>
      <c r="K76" s="173">
        <v>200.0</v>
      </c>
      <c r="L76" s="7">
        <v>2150000.0</v>
      </c>
      <c r="M76" s="62" t="s">
        <v>296</v>
      </c>
      <c r="N76" s="169">
        <v>5.0</v>
      </c>
      <c r="O76" s="62">
        <v>6.0</v>
      </c>
      <c r="P76" s="62" t="s">
        <v>145</v>
      </c>
      <c r="Q76" s="130"/>
      <c r="R76" s="167" t="s">
        <v>297</v>
      </c>
      <c r="S76" s="130"/>
      <c r="T76" s="80"/>
      <c r="U76" s="80"/>
      <c r="V76" s="170"/>
      <c r="W76" s="130"/>
      <c r="X76" s="171" t="s">
        <v>143</v>
      </c>
      <c r="Y76" s="60" t="s">
        <v>86</v>
      </c>
      <c r="Z76" s="9" t="s">
        <v>87</v>
      </c>
      <c r="AA76" s="167" t="s">
        <v>144</v>
      </c>
      <c r="AB76" s="130"/>
      <c r="AC76" s="130"/>
      <c r="AD76" s="130"/>
    </row>
    <row r="77">
      <c r="A77" s="56">
        <v>11.0</v>
      </c>
      <c r="B77" s="56" t="s">
        <v>140</v>
      </c>
      <c r="C77" s="167" t="s">
        <v>141</v>
      </c>
      <c r="D77" s="130"/>
      <c r="E77" s="62">
        <v>8.0</v>
      </c>
      <c r="F77" s="9" t="str">
        <f t="shared" si="1"/>
        <v>VI</v>
      </c>
      <c r="G77" s="7" t="str">
        <f t="shared" si="2"/>
        <v>SER-A-8-VI</v>
      </c>
      <c r="H77" s="167" t="s">
        <v>142</v>
      </c>
      <c r="I77" s="62" t="s">
        <v>294</v>
      </c>
      <c r="J77" s="78" t="s">
        <v>313</v>
      </c>
      <c r="K77" s="173">
        <v>200.0</v>
      </c>
      <c r="L77" s="7">
        <v>2150000.0</v>
      </c>
      <c r="M77" s="62" t="s">
        <v>296</v>
      </c>
      <c r="N77" s="169">
        <v>5.0</v>
      </c>
      <c r="O77" s="62">
        <v>6.0</v>
      </c>
      <c r="P77" s="62" t="s">
        <v>145</v>
      </c>
      <c r="Q77" s="130"/>
      <c r="R77" s="167" t="s">
        <v>297</v>
      </c>
      <c r="S77" s="130"/>
      <c r="T77" s="80"/>
      <c r="U77" s="80"/>
      <c r="V77" s="170"/>
      <c r="W77" s="130"/>
      <c r="X77" s="171" t="s">
        <v>143</v>
      </c>
      <c r="Y77" s="60" t="s">
        <v>86</v>
      </c>
      <c r="Z77" s="9" t="s">
        <v>87</v>
      </c>
      <c r="AA77" s="167" t="s">
        <v>144</v>
      </c>
      <c r="AB77" s="130"/>
      <c r="AC77" s="130"/>
      <c r="AD77" s="130"/>
    </row>
    <row r="78">
      <c r="A78" s="56">
        <v>11.0</v>
      </c>
      <c r="B78" s="56" t="s">
        <v>140</v>
      </c>
      <c r="C78" s="167" t="s">
        <v>141</v>
      </c>
      <c r="D78" s="130"/>
      <c r="E78" s="62">
        <v>9.0</v>
      </c>
      <c r="F78" s="9" t="str">
        <f t="shared" si="1"/>
        <v>VI</v>
      </c>
      <c r="G78" s="7" t="str">
        <f t="shared" si="2"/>
        <v>SER-A-9-VI</v>
      </c>
      <c r="H78" s="167" t="s">
        <v>142</v>
      </c>
      <c r="I78" s="62" t="s">
        <v>294</v>
      </c>
      <c r="J78" s="78" t="s">
        <v>313</v>
      </c>
      <c r="K78" s="173">
        <v>200.0</v>
      </c>
      <c r="L78" s="7">
        <v>2150000.0</v>
      </c>
      <c r="M78" s="62" t="s">
        <v>296</v>
      </c>
      <c r="N78" s="169">
        <v>5.0</v>
      </c>
      <c r="O78" s="62">
        <v>6.0</v>
      </c>
      <c r="P78" s="62" t="s">
        <v>145</v>
      </c>
      <c r="Q78" s="130"/>
      <c r="R78" s="167" t="s">
        <v>297</v>
      </c>
      <c r="S78" s="130"/>
      <c r="T78" s="80"/>
      <c r="U78" s="80"/>
      <c r="V78" s="170"/>
      <c r="W78" s="130"/>
      <c r="X78" s="171" t="s">
        <v>143</v>
      </c>
      <c r="Y78" s="60" t="s">
        <v>86</v>
      </c>
      <c r="Z78" s="9" t="s">
        <v>87</v>
      </c>
      <c r="AA78" s="167" t="s">
        <v>144</v>
      </c>
      <c r="AB78" s="130"/>
      <c r="AC78" s="130"/>
      <c r="AD78" s="130"/>
    </row>
    <row r="79">
      <c r="A79" s="56">
        <v>11.0</v>
      </c>
      <c r="B79" s="56" t="s">
        <v>140</v>
      </c>
      <c r="C79" s="167" t="s">
        <v>141</v>
      </c>
      <c r="D79" s="130"/>
      <c r="E79" s="62">
        <v>10.0</v>
      </c>
      <c r="F79" s="9" t="str">
        <f t="shared" si="1"/>
        <v>VI</v>
      </c>
      <c r="G79" s="7" t="str">
        <f t="shared" si="2"/>
        <v>SER-A-10-VI</v>
      </c>
      <c r="H79" s="167" t="s">
        <v>142</v>
      </c>
      <c r="I79" s="62" t="s">
        <v>294</v>
      </c>
      <c r="J79" s="78" t="s">
        <v>313</v>
      </c>
      <c r="K79" s="173">
        <v>200.0</v>
      </c>
      <c r="L79" s="7">
        <v>2150000.0</v>
      </c>
      <c r="M79" s="62" t="s">
        <v>296</v>
      </c>
      <c r="N79" s="169">
        <v>5.0</v>
      </c>
      <c r="O79" s="62">
        <v>6.0</v>
      </c>
      <c r="P79" s="62" t="s">
        <v>145</v>
      </c>
      <c r="Q79" s="130"/>
      <c r="R79" s="167" t="s">
        <v>297</v>
      </c>
      <c r="S79" s="130"/>
      <c r="T79" s="80"/>
      <c r="U79" s="80"/>
      <c r="V79" s="170"/>
      <c r="W79" s="130"/>
      <c r="X79" s="171" t="s">
        <v>143</v>
      </c>
      <c r="Y79" s="60" t="s">
        <v>86</v>
      </c>
      <c r="Z79" s="9" t="s">
        <v>87</v>
      </c>
      <c r="AA79" s="167" t="s">
        <v>144</v>
      </c>
      <c r="AB79" s="130"/>
      <c r="AC79" s="130"/>
      <c r="AD79" s="130"/>
    </row>
    <row r="80">
      <c r="A80" s="56">
        <v>11.0</v>
      </c>
      <c r="B80" s="56" t="s">
        <v>140</v>
      </c>
      <c r="C80" s="167" t="s">
        <v>141</v>
      </c>
      <c r="D80" s="130"/>
      <c r="E80" s="62">
        <v>11.0</v>
      </c>
      <c r="F80" s="9" t="str">
        <f t="shared" si="1"/>
        <v>VI</v>
      </c>
      <c r="G80" s="7" t="str">
        <f t="shared" si="2"/>
        <v>SER-A-11-VI</v>
      </c>
      <c r="H80" s="167" t="s">
        <v>142</v>
      </c>
      <c r="I80" s="62" t="s">
        <v>294</v>
      </c>
      <c r="J80" s="78" t="s">
        <v>313</v>
      </c>
      <c r="K80" s="173">
        <v>200.0</v>
      </c>
      <c r="L80" s="7">
        <v>2150000.0</v>
      </c>
      <c r="M80" s="62" t="s">
        <v>296</v>
      </c>
      <c r="N80" s="169">
        <v>5.0</v>
      </c>
      <c r="O80" s="62">
        <v>6.0</v>
      </c>
      <c r="P80" s="62" t="s">
        <v>145</v>
      </c>
      <c r="Q80" s="130"/>
      <c r="R80" s="167" t="s">
        <v>297</v>
      </c>
      <c r="S80" s="130"/>
      <c r="T80" s="80"/>
      <c r="U80" s="80"/>
      <c r="V80" s="170"/>
      <c r="W80" s="130"/>
      <c r="X80" s="171" t="s">
        <v>143</v>
      </c>
      <c r="Y80" s="60" t="s">
        <v>86</v>
      </c>
      <c r="Z80" s="9" t="s">
        <v>87</v>
      </c>
      <c r="AA80" s="167" t="s">
        <v>144</v>
      </c>
      <c r="AB80" s="130"/>
      <c r="AC80" s="130"/>
      <c r="AD80" s="130"/>
    </row>
    <row r="81">
      <c r="A81" s="56">
        <v>12.0</v>
      </c>
      <c r="B81" s="56" t="s">
        <v>146</v>
      </c>
      <c r="C81" s="167" t="s">
        <v>147</v>
      </c>
      <c r="D81" s="130"/>
      <c r="E81" s="62">
        <v>1.0</v>
      </c>
      <c r="F81" s="9" t="str">
        <f t="shared" si="1"/>
        <v>VI</v>
      </c>
      <c r="G81" s="7" t="str">
        <f t="shared" si="2"/>
        <v>HBS-A-1-VI</v>
      </c>
      <c r="H81" s="167" t="s">
        <v>147</v>
      </c>
      <c r="I81" s="62" t="s">
        <v>294</v>
      </c>
      <c r="J81" s="78" t="s">
        <v>313</v>
      </c>
      <c r="K81" s="173">
        <v>200.0</v>
      </c>
      <c r="L81" s="7">
        <v>2390000.0</v>
      </c>
      <c r="M81" s="62" t="s">
        <v>296</v>
      </c>
      <c r="N81" s="142"/>
      <c r="O81" s="46"/>
      <c r="P81" s="16"/>
      <c r="Q81" s="130"/>
      <c r="R81" s="16"/>
      <c r="S81" s="130"/>
      <c r="T81" s="80"/>
      <c r="U81" s="80"/>
      <c r="V81" s="170"/>
      <c r="W81" s="130"/>
      <c r="X81" s="130"/>
      <c r="Y81" s="60" t="s">
        <v>86</v>
      </c>
      <c r="Z81" s="9" t="s">
        <v>87</v>
      </c>
      <c r="AA81" s="167" t="s">
        <v>144</v>
      </c>
      <c r="AB81" s="130"/>
      <c r="AC81" s="130"/>
      <c r="AD81" s="130"/>
    </row>
    <row r="82">
      <c r="A82" s="56">
        <v>12.0</v>
      </c>
      <c r="B82" s="56" t="s">
        <v>146</v>
      </c>
      <c r="C82" s="167" t="s">
        <v>147</v>
      </c>
      <c r="D82" s="130"/>
      <c r="E82" s="62">
        <v>2.0</v>
      </c>
      <c r="F82" s="9" t="str">
        <f t="shared" si="1"/>
        <v>VI</v>
      </c>
      <c r="G82" s="7" t="str">
        <f t="shared" si="2"/>
        <v>HBS-A-2-VI</v>
      </c>
      <c r="H82" s="167" t="s">
        <v>147</v>
      </c>
      <c r="I82" s="62" t="s">
        <v>294</v>
      </c>
      <c r="J82" s="78" t="s">
        <v>313</v>
      </c>
      <c r="K82" s="173">
        <v>200.0</v>
      </c>
      <c r="L82" s="7">
        <v>2390000.0</v>
      </c>
      <c r="M82" s="62" t="s">
        <v>296</v>
      </c>
      <c r="N82" s="142"/>
      <c r="O82" s="46"/>
      <c r="P82" s="130"/>
      <c r="Q82" s="130"/>
      <c r="R82" s="130"/>
      <c r="S82" s="130"/>
      <c r="T82" s="80"/>
      <c r="U82" s="80"/>
      <c r="V82" s="170"/>
      <c r="W82" s="130"/>
      <c r="X82" s="130"/>
      <c r="Y82" s="60" t="s">
        <v>86</v>
      </c>
      <c r="Z82" s="9" t="s">
        <v>87</v>
      </c>
      <c r="AA82" s="167" t="s">
        <v>144</v>
      </c>
      <c r="AB82" s="130"/>
      <c r="AC82" s="130"/>
      <c r="AD82" s="130"/>
    </row>
    <row r="83">
      <c r="A83" s="56">
        <v>13.0</v>
      </c>
      <c r="B83" s="56" t="s">
        <v>148</v>
      </c>
      <c r="C83" s="68" t="s">
        <v>112</v>
      </c>
      <c r="D83" s="46">
        <v>80.0</v>
      </c>
      <c r="E83" s="174">
        <v>1.0</v>
      </c>
      <c r="F83" s="9" t="str">
        <f t="shared" si="1"/>
        <v>TH</v>
      </c>
      <c r="G83" s="7" t="str">
        <f t="shared" si="2"/>
        <v>MAJ80-C-1-TH</v>
      </c>
      <c r="H83" s="68" t="s">
        <v>149</v>
      </c>
      <c r="I83" s="174" t="s">
        <v>317</v>
      </c>
      <c r="J83" s="51" t="s">
        <v>356</v>
      </c>
      <c r="K83" s="173">
        <v>517.0</v>
      </c>
      <c r="L83" s="7">
        <v>2425000.0</v>
      </c>
      <c r="M83" s="62" t="s">
        <v>296</v>
      </c>
      <c r="N83" s="142">
        <v>3.0</v>
      </c>
      <c r="O83" s="46">
        <v>5.0</v>
      </c>
      <c r="P83" s="16" t="s">
        <v>152</v>
      </c>
      <c r="Q83" s="130"/>
      <c r="R83" s="16" t="s">
        <v>297</v>
      </c>
      <c r="S83" s="130"/>
      <c r="T83" s="80"/>
      <c r="U83" s="80"/>
      <c r="V83" s="170"/>
      <c r="W83" s="130"/>
      <c r="X83" s="175" t="s">
        <v>150</v>
      </c>
      <c r="Y83" s="60" t="s">
        <v>86</v>
      </c>
      <c r="Z83" s="9" t="s">
        <v>87</v>
      </c>
      <c r="AA83" s="68" t="s">
        <v>151</v>
      </c>
      <c r="AB83" s="130"/>
      <c r="AC83" s="130"/>
      <c r="AD83" s="130"/>
    </row>
    <row r="84">
      <c r="A84" s="56">
        <v>13.0</v>
      </c>
      <c r="B84" s="56" t="s">
        <v>148</v>
      </c>
      <c r="C84" s="68" t="s">
        <v>112</v>
      </c>
      <c r="D84" s="46">
        <v>80.0</v>
      </c>
      <c r="E84" s="174">
        <v>2.0</v>
      </c>
      <c r="F84" s="9" t="str">
        <f t="shared" si="1"/>
        <v>TH</v>
      </c>
      <c r="G84" s="7" t="str">
        <f t="shared" si="2"/>
        <v>MAJ80-B-2-TH</v>
      </c>
      <c r="H84" s="68" t="s">
        <v>149</v>
      </c>
      <c r="I84" s="174" t="s">
        <v>303</v>
      </c>
      <c r="J84" s="51" t="s">
        <v>356</v>
      </c>
      <c r="K84" s="173">
        <v>384.0</v>
      </c>
      <c r="L84" s="7">
        <v>2175000.0</v>
      </c>
      <c r="M84" s="62" t="s">
        <v>296</v>
      </c>
      <c r="N84" s="142">
        <v>3.0</v>
      </c>
      <c r="O84" s="46">
        <v>5.0</v>
      </c>
      <c r="P84" s="16" t="s">
        <v>152</v>
      </c>
      <c r="Q84" s="130"/>
      <c r="R84" s="16" t="s">
        <v>297</v>
      </c>
      <c r="S84" s="130"/>
      <c r="T84" s="80"/>
      <c r="U84" s="80"/>
      <c r="V84" s="170"/>
      <c r="W84" s="130"/>
      <c r="X84" s="175" t="s">
        <v>150</v>
      </c>
      <c r="Y84" s="60" t="s">
        <v>86</v>
      </c>
      <c r="Z84" s="9" t="s">
        <v>87</v>
      </c>
      <c r="AA84" s="68" t="s">
        <v>151</v>
      </c>
      <c r="AB84" s="130"/>
      <c r="AC84" s="130"/>
      <c r="AD84" s="130"/>
    </row>
    <row r="85">
      <c r="A85" s="56">
        <v>13.0</v>
      </c>
      <c r="B85" s="56" t="s">
        <v>148</v>
      </c>
      <c r="C85" s="68" t="s">
        <v>112</v>
      </c>
      <c r="D85" s="46">
        <v>80.0</v>
      </c>
      <c r="E85" s="174">
        <v>3.0</v>
      </c>
      <c r="F85" s="9" t="str">
        <f t="shared" si="1"/>
        <v>TH</v>
      </c>
      <c r="G85" s="7" t="str">
        <f t="shared" si="2"/>
        <v>MAJ80-B-3-TH</v>
      </c>
      <c r="H85" s="68" t="s">
        <v>149</v>
      </c>
      <c r="I85" s="174" t="s">
        <v>303</v>
      </c>
      <c r="J85" s="51" t="s">
        <v>356</v>
      </c>
      <c r="K85" s="173">
        <v>384.0</v>
      </c>
      <c r="L85" s="7">
        <v>2175000.0</v>
      </c>
      <c r="M85" s="62" t="s">
        <v>296</v>
      </c>
      <c r="N85" s="142">
        <v>3.0</v>
      </c>
      <c r="O85" s="46">
        <v>5.0</v>
      </c>
      <c r="P85" s="16" t="s">
        <v>152</v>
      </c>
      <c r="Q85" s="130"/>
      <c r="R85" s="16" t="s">
        <v>297</v>
      </c>
      <c r="S85" s="130"/>
      <c r="T85" s="80"/>
      <c r="U85" s="80"/>
      <c r="V85" s="170"/>
      <c r="W85" s="130"/>
      <c r="X85" s="175" t="s">
        <v>150</v>
      </c>
      <c r="Y85" s="60" t="s">
        <v>86</v>
      </c>
      <c r="Z85" s="9" t="s">
        <v>87</v>
      </c>
      <c r="AA85" s="68" t="s">
        <v>151</v>
      </c>
      <c r="AB85" s="130"/>
      <c r="AC85" s="130"/>
      <c r="AD85" s="130"/>
    </row>
    <row r="86">
      <c r="A86" s="56">
        <v>13.0</v>
      </c>
      <c r="B86" s="56" t="s">
        <v>148</v>
      </c>
      <c r="C86" s="68" t="s">
        <v>112</v>
      </c>
      <c r="D86" s="46">
        <v>80.0</v>
      </c>
      <c r="E86" s="174">
        <v>4.0</v>
      </c>
      <c r="F86" s="9" t="str">
        <f t="shared" si="1"/>
        <v>TH</v>
      </c>
      <c r="G86" s="7" t="str">
        <f t="shared" si="2"/>
        <v>MAJ80-B-4-TH</v>
      </c>
      <c r="H86" s="68" t="s">
        <v>149</v>
      </c>
      <c r="I86" s="174" t="s">
        <v>303</v>
      </c>
      <c r="J86" s="51" t="s">
        <v>356</v>
      </c>
      <c r="K86" s="173">
        <v>384.0</v>
      </c>
      <c r="L86" s="7">
        <v>2175000.0</v>
      </c>
      <c r="M86" s="62" t="s">
        <v>296</v>
      </c>
      <c r="N86" s="142">
        <v>3.0</v>
      </c>
      <c r="O86" s="46">
        <v>5.0</v>
      </c>
      <c r="P86" s="16" t="s">
        <v>152</v>
      </c>
      <c r="Q86" s="130"/>
      <c r="R86" s="16" t="s">
        <v>297</v>
      </c>
      <c r="S86" s="130"/>
      <c r="T86" s="80"/>
      <c r="U86" s="80"/>
      <c r="V86" s="170"/>
      <c r="W86" s="130"/>
      <c r="X86" s="175" t="s">
        <v>150</v>
      </c>
      <c r="Y86" s="60" t="s">
        <v>86</v>
      </c>
      <c r="Z86" s="9" t="s">
        <v>87</v>
      </c>
      <c r="AA86" s="68" t="s">
        <v>151</v>
      </c>
      <c r="AB86" s="130"/>
      <c r="AC86" s="130"/>
      <c r="AD86" s="130"/>
    </row>
    <row r="87">
      <c r="A87" s="56">
        <v>13.0</v>
      </c>
      <c r="B87" s="56" t="s">
        <v>148</v>
      </c>
      <c r="C87" s="68" t="s">
        <v>112</v>
      </c>
      <c r="D87" s="46">
        <v>80.0</v>
      </c>
      <c r="E87" s="174">
        <v>5.0</v>
      </c>
      <c r="F87" s="9" t="str">
        <f t="shared" si="1"/>
        <v>TH</v>
      </c>
      <c r="G87" s="7" t="str">
        <f t="shared" si="2"/>
        <v>MAJ80-B-5-TH</v>
      </c>
      <c r="H87" s="68" t="s">
        <v>149</v>
      </c>
      <c r="I87" s="174" t="s">
        <v>303</v>
      </c>
      <c r="J87" s="51" t="s">
        <v>356</v>
      </c>
      <c r="K87" s="173">
        <v>384.0</v>
      </c>
      <c r="L87" s="7">
        <v>2175000.0</v>
      </c>
      <c r="M87" s="62" t="s">
        <v>296</v>
      </c>
      <c r="N87" s="142">
        <v>3.0</v>
      </c>
      <c r="O87" s="46">
        <v>5.0</v>
      </c>
      <c r="P87" s="16" t="s">
        <v>152</v>
      </c>
      <c r="Q87" s="130"/>
      <c r="R87" s="16" t="s">
        <v>297</v>
      </c>
      <c r="S87" s="130"/>
      <c r="T87" s="80"/>
      <c r="U87" s="80"/>
      <c r="V87" s="170"/>
      <c r="W87" s="130"/>
      <c r="X87" s="175" t="s">
        <v>150</v>
      </c>
      <c r="Y87" s="60" t="s">
        <v>86</v>
      </c>
      <c r="Z87" s="9" t="s">
        <v>87</v>
      </c>
      <c r="AA87" s="68" t="s">
        <v>151</v>
      </c>
      <c r="AB87" s="130"/>
      <c r="AC87" s="130"/>
      <c r="AD87" s="130"/>
    </row>
    <row r="88">
      <c r="A88" s="56">
        <v>13.0</v>
      </c>
      <c r="B88" s="56" t="s">
        <v>148</v>
      </c>
      <c r="C88" s="68" t="s">
        <v>112</v>
      </c>
      <c r="D88" s="46">
        <v>80.0</v>
      </c>
      <c r="E88" s="174">
        <v>6.0</v>
      </c>
      <c r="F88" s="9" t="str">
        <f t="shared" si="1"/>
        <v>TH</v>
      </c>
      <c r="G88" s="7" t="str">
        <f t="shared" si="2"/>
        <v>MAJ80-B-6-TH</v>
      </c>
      <c r="H88" s="68" t="s">
        <v>149</v>
      </c>
      <c r="I88" s="174" t="s">
        <v>303</v>
      </c>
      <c r="J88" s="51" t="s">
        <v>356</v>
      </c>
      <c r="K88" s="173">
        <v>384.0</v>
      </c>
      <c r="L88" s="7">
        <v>2175000.0</v>
      </c>
      <c r="M88" s="62" t="s">
        <v>296</v>
      </c>
      <c r="N88" s="142">
        <v>3.0</v>
      </c>
      <c r="O88" s="46">
        <v>5.0</v>
      </c>
      <c r="P88" s="16" t="s">
        <v>152</v>
      </c>
      <c r="Q88" s="130"/>
      <c r="R88" s="16" t="s">
        <v>297</v>
      </c>
      <c r="S88" s="130"/>
      <c r="T88" s="80"/>
      <c r="U88" s="80"/>
      <c r="V88" s="170"/>
      <c r="W88" s="130"/>
      <c r="X88" s="175" t="s">
        <v>150</v>
      </c>
      <c r="Y88" s="60" t="s">
        <v>86</v>
      </c>
      <c r="Z88" s="9" t="s">
        <v>87</v>
      </c>
      <c r="AA88" s="68" t="s">
        <v>151</v>
      </c>
      <c r="AB88" s="130"/>
      <c r="AC88" s="130"/>
      <c r="AD88" s="130"/>
    </row>
    <row r="89">
      <c r="A89" s="56">
        <v>13.0</v>
      </c>
      <c r="B89" s="56" t="s">
        <v>148</v>
      </c>
      <c r="C89" s="68" t="s">
        <v>112</v>
      </c>
      <c r="D89" s="46">
        <v>80.0</v>
      </c>
      <c r="E89" s="174">
        <v>7.0</v>
      </c>
      <c r="F89" s="9" t="str">
        <f t="shared" si="1"/>
        <v>TH</v>
      </c>
      <c r="G89" s="7" t="str">
        <f t="shared" si="2"/>
        <v>MAJ80-B-7-TH</v>
      </c>
      <c r="H89" s="68" t="s">
        <v>149</v>
      </c>
      <c r="I89" s="174" t="s">
        <v>303</v>
      </c>
      <c r="J89" s="51" t="s">
        <v>356</v>
      </c>
      <c r="K89" s="173">
        <v>384.0</v>
      </c>
      <c r="L89" s="7">
        <v>2175000.0</v>
      </c>
      <c r="M89" s="62" t="s">
        <v>296</v>
      </c>
      <c r="N89" s="142">
        <v>3.0</v>
      </c>
      <c r="O89" s="46">
        <v>5.0</v>
      </c>
      <c r="P89" s="16" t="s">
        <v>152</v>
      </c>
      <c r="Q89" s="130"/>
      <c r="R89" s="16" t="s">
        <v>297</v>
      </c>
      <c r="S89" s="130"/>
      <c r="T89" s="80"/>
      <c r="U89" s="80"/>
      <c r="V89" s="170"/>
      <c r="W89" s="130"/>
      <c r="X89" s="175" t="s">
        <v>150</v>
      </c>
      <c r="Y89" s="60" t="s">
        <v>86</v>
      </c>
      <c r="Z89" s="9" t="s">
        <v>87</v>
      </c>
      <c r="AA89" s="68" t="s">
        <v>151</v>
      </c>
      <c r="AB89" s="130"/>
      <c r="AC89" s="130"/>
      <c r="AD89" s="130"/>
    </row>
    <row r="90">
      <c r="A90" s="56">
        <v>13.0</v>
      </c>
      <c r="B90" s="56" t="s">
        <v>148</v>
      </c>
      <c r="C90" s="68" t="s">
        <v>112</v>
      </c>
      <c r="D90" s="46">
        <v>80.0</v>
      </c>
      <c r="E90" s="174">
        <v>8.0</v>
      </c>
      <c r="F90" s="9" t="str">
        <f t="shared" si="1"/>
        <v>TH</v>
      </c>
      <c r="G90" s="7" t="str">
        <f t="shared" si="2"/>
        <v>MAJ80-B-8-TH</v>
      </c>
      <c r="H90" s="68" t="s">
        <v>149</v>
      </c>
      <c r="I90" s="174" t="s">
        <v>303</v>
      </c>
      <c r="J90" s="51" t="s">
        <v>356</v>
      </c>
      <c r="K90" s="173">
        <v>384.0</v>
      </c>
      <c r="L90" s="7">
        <v>2175000.0</v>
      </c>
      <c r="M90" s="62" t="s">
        <v>296</v>
      </c>
      <c r="N90" s="142">
        <v>3.0</v>
      </c>
      <c r="O90" s="46">
        <v>5.0</v>
      </c>
      <c r="P90" s="16" t="s">
        <v>152</v>
      </c>
      <c r="Q90" s="130"/>
      <c r="R90" s="16" t="s">
        <v>297</v>
      </c>
      <c r="S90" s="130"/>
      <c r="T90" s="80"/>
      <c r="U90" s="80"/>
      <c r="V90" s="170"/>
      <c r="W90" s="130"/>
      <c r="X90" s="175" t="s">
        <v>150</v>
      </c>
      <c r="Y90" s="60" t="s">
        <v>86</v>
      </c>
      <c r="Z90" s="9" t="s">
        <v>87</v>
      </c>
      <c r="AA90" s="68" t="s">
        <v>151</v>
      </c>
      <c r="AB90" s="130"/>
      <c r="AC90" s="130"/>
      <c r="AD90" s="130"/>
    </row>
    <row r="91">
      <c r="A91" s="56">
        <v>13.0</v>
      </c>
      <c r="B91" s="56" t="s">
        <v>148</v>
      </c>
      <c r="C91" s="68" t="s">
        <v>112</v>
      </c>
      <c r="D91" s="46">
        <v>80.0</v>
      </c>
      <c r="E91" s="174">
        <v>9.0</v>
      </c>
      <c r="F91" s="9" t="str">
        <f t="shared" si="1"/>
        <v>TH</v>
      </c>
      <c r="G91" s="7" t="str">
        <f t="shared" si="2"/>
        <v>MAJ80-B-9-TH</v>
      </c>
      <c r="H91" s="68" t="s">
        <v>149</v>
      </c>
      <c r="I91" s="174" t="s">
        <v>303</v>
      </c>
      <c r="J91" s="51" t="s">
        <v>356</v>
      </c>
      <c r="K91" s="173">
        <v>384.0</v>
      </c>
      <c r="L91" s="7">
        <v>2175000.0</v>
      </c>
      <c r="M91" s="62" t="s">
        <v>296</v>
      </c>
      <c r="N91" s="142">
        <v>3.0</v>
      </c>
      <c r="O91" s="46">
        <v>5.0</v>
      </c>
      <c r="P91" s="16" t="s">
        <v>152</v>
      </c>
      <c r="Q91" s="130"/>
      <c r="R91" s="16" t="s">
        <v>297</v>
      </c>
      <c r="S91" s="130"/>
      <c r="T91" s="80"/>
      <c r="U91" s="80"/>
      <c r="V91" s="170"/>
      <c r="W91" s="130"/>
      <c r="X91" s="175" t="s">
        <v>150</v>
      </c>
      <c r="Y91" s="60" t="s">
        <v>86</v>
      </c>
      <c r="Z91" s="9" t="s">
        <v>87</v>
      </c>
      <c r="AA91" s="68" t="s">
        <v>151</v>
      </c>
      <c r="AB91" s="130"/>
      <c r="AC91" s="130"/>
      <c r="AD91" s="130"/>
    </row>
    <row r="92">
      <c r="A92" s="56">
        <v>13.0</v>
      </c>
      <c r="B92" s="56" t="s">
        <v>148</v>
      </c>
      <c r="C92" s="68" t="s">
        <v>112</v>
      </c>
      <c r="D92" s="46">
        <v>80.0</v>
      </c>
      <c r="E92" s="174">
        <v>10.0</v>
      </c>
      <c r="F92" s="9" t="str">
        <f t="shared" si="1"/>
        <v>TH</v>
      </c>
      <c r="G92" s="7" t="str">
        <f t="shared" si="2"/>
        <v>MAJ80-C-10-TH</v>
      </c>
      <c r="H92" s="68" t="s">
        <v>149</v>
      </c>
      <c r="I92" s="174" t="s">
        <v>317</v>
      </c>
      <c r="J92" s="51" t="s">
        <v>356</v>
      </c>
      <c r="K92" s="173">
        <v>517.0</v>
      </c>
      <c r="L92" s="7">
        <v>2425000.0</v>
      </c>
      <c r="M92" s="62" t="s">
        <v>296</v>
      </c>
      <c r="N92" s="142">
        <v>3.0</v>
      </c>
      <c r="O92" s="46">
        <v>5.0</v>
      </c>
      <c r="P92" s="16" t="s">
        <v>152</v>
      </c>
      <c r="Q92" s="130"/>
      <c r="R92" s="16" t="s">
        <v>297</v>
      </c>
      <c r="S92" s="130"/>
      <c r="T92" s="80"/>
      <c r="U92" s="80"/>
      <c r="V92" s="170"/>
      <c r="W92" s="130"/>
      <c r="X92" s="175" t="s">
        <v>150</v>
      </c>
      <c r="Y92" s="60" t="s">
        <v>86</v>
      </c>
      <c r="Z92" s="9" t="s">
        <v>87</v>
      </c>
      <c r="AA92" s="68" t="s">
        <v>151</v>
      </c>
      <c r="AB92" s="130"/>
      <c r="AC92" s="130"/>
      <c r="AD92" s="130"/>
    </row>
    <row r="93">
      <c r="A93" s="56">
        <v>13.0</v>
      </c>
      <c r="B93" s="56" t="s">
        <v>148</v>
      </c>
      <c r="C93" s="68" t="s">
        <v>112</v>
      </c>
      <c r="D93" s="46">
        <v>80.0</v>
      </c>
      <c r="E93" s="174">
        <v>11.0</v>
      </c>
      <c r="F93" s="9" t="str">
        <f t="shared" si="1"/>
        <v>TH</v>
      </c>
      <c r="G93" s="7" t="str">
        <f t="shared" si="2"/>
        <v>MAJ80-B-11-TH</v>
      </c>
      <c r="H93" s="68" t="s">
        <v>149</v>
      </c>
      <c r="I93" s="174" t="s">
        <v>303</v>
      </c>
      <c r="J93" s="51" t="s">
        <v>356</v>
      </c>
      <c r="K93" s="173">
        <v>384.0</v>
      </c>
      <c r="L93" s="7">
        <v>2175000.0</v>
      </c>
      <c r="M93" s="62" t="s">
        <v>296</v>
      </c>
      <c r="N93" s="142">
        <v>3.0</v>
      </c>
      <c r="O93" s="46">
        <v>5.0</v>
      </c>
      <c r="P93" s="16" t="s">
        <v>152</v>
      </c>
      <c r="Q93" s="130"/>
      <c r="R93" s="16" t="s">
        <v>297</v>
      </c>
      <c r="S93" s="130"/>
      <c r="T93" s="80"/>
      <c r="U93" s="80"/>
      <c r="V93" s="170"/>
      <c r="W93" s="130"/>
      <c r="X93" s="175" t="s">
        <v>150</v>
      </c>
      <c r="Y93" s="60" t="s">
        <v>86</v>
      </c>
      <c r="Z93" s="9" t="s">
        <v>87</v>
      </c>
      <c r="AA93" s="68" t="s">
        <v>151</v>
      </c>
      <c r="AB93" s="130"/>
      <c r="AC93" s="130"/>
      <c r="AD93" s="130"/>
    </row>
    <row r="94">
      <c r="A94" s="56">
        <v>13.0</v>
      </c>
      <c r="B94" s="56" t="s">
        <v>148</v>
      </c>
      <c r="C94" s="68" t="s">
        <v>112</v>
      </c>
      <c r="D94" s="46">
        <v>80.0</v>
      </c>
      <c r="E94" s="174">
        <v>12.0</v>
      </c>
      <c r="F94" s="9" t="str">
        <f t="shared" si="1"/>
        <v>TH</v>
      </c>
      <c r="G94" s="7" t="str">
        <f t="shared" si="2"/>
        <v>MAJ80-B-12-TH</v>
      </c>
      <c r="H94" s="68" t="s">
        <v>149</v>
      </c>
      <c r="I94" s="174" t="s">
        <v>303</v>
      </c>
      <c r="J94" s="51" t="s">
        <v>356</v>
      </c>
      <c r="K94" s="173">
        <v>384.0</v>
      </c>
      <c r="L94" s="7">
        <v>2175000.0</v>
      </c>
      <c r="M94" s="62" t="s">
        <v>296</v>
      </c>
      <c r="N94" s="142">
        <v>3.0</v>
      </c>
      <c r="O94" s="46">
        <v>5.0</v>
      </c>
      <c r="P94" s="16" t="s">
        <v>152</v>
      </c>
      <c r="Q94" s="130"/>
      <c r="R94" s="16" t="s">
        <v>297</v>
      </c>
      <c r="S94" s="130"/>
      <c r="T94" s="80"/>
      <c r="U94" s="80"/>
      <c r="V94" s="170"/>
      <c r="W94" s="130"/>
      <c r="X94" s="175" t="s">
        <v>150</v>
      </c>
      <c r="Y94" s="60" t="s">
        <v>86</v>
      </c>
      <c r="Z94" s="9" t="s">
        <v>87</v>
      </c>
      <c r="AA94" s="68" t="s">
        <v>151</v>
      </c>
      <c r="AB94" s="130"/>
      <c r="AC94" s="130"/>
      <c r="AD94" s="130"/>
    </row>
    <row r="95">
      <c r="A95" s="56">
        <v>13.0</v>
      </c>
      <c r="B95" s="56" t="s">
        <v>148</v>
      </c>
      <c r="C95" s="68" t="s">
        <v>112</v>
      </c>
      <c r="D95" s="46">
        <v>80.0</v>
      </c>
      <c r="E95" s="174">
        <v>13.0</v>
      </c>
      <c r="F95" s="9" t="str">
        <f t="shared" si="1"/>
        <v>TH</v>
      </c>
      <c r="G95" s="7" t="str">
        <f t="shared" si="2"/>
        <v>MAJ80-B-13-TH</v>
      </c>
      <c r="H95" s="68" t="s">
        <v>149</v>
      </c>
      <c r="I95" s="174" t="s">
        <v>303</v>
      </c>
      <c r="J95" s="51" t="s">
        <v>356</v>
      </c>
      <c r="K95" s="173">
        <v>384.0</v>
      </c>
      <c r="L95" s="7">
        <v>2175000.0</v>
      </c>
      <c r="M95" s="62" t="s">
        <v>296</v>
      </c>
      <c r="N95" s="142">
        <v>3.0</v>
      </c>
      <c r="O95" s="46">
        <v>5.0</v>
      </c>
      <c r="P95" s="16" t="s">
        <v>152</v>
      </c>
      <c r="Q95" s="130"/>
      <c r="R95" s="16" t="s">
        <v>297</v>
      </c>
      <c r="S95" s="130"/>
      <c r="T95" s="80"/>
      <c r="U95" s="80"/>
      <c r="V95" s="170"/>
      <c r="W95" s="130"/>
      <c r="X95" s="175" t="s">
        <v>150</v>
      </c>
      <c r="Y95" s="60" t="s">
        <v>86</v>
      </c>
      <c r="Z95" s="9" t="s">
        <v>87</v>
      </c>
      <c r="AA95" s="68" t="s">
        <v>151</v>
      </c>
      <c r="AB95" s="130"/>
      <c r="AC95" s="130"/>
      <c r="AD95" s="130"/>
    </row>
    <row r="96">
      <c r="A96" s="56">
        <v>13.0</v>
      </c>
      <c r="B96" s="56" t="s">
        <v>148</v>
      </c>
      <c r="C96" s="68" t="s">
        <v>112</v>
      </c>
      <c r="D96" s="46">
        <v>80.0</v>
      </c>
      <c r="E96" s="174">
        <v>14.0</v>
      </c>
      <c r="F96" s="9" t="str">
        <f t="shared" si="1"/>
        <v>TH</v>
      </c>
      <c r="G96" s="7" t="str">
        <f t="shared" si="2"/>
        <v>MAJ80-B-14-TH</v>
      </c>
      <c r="H96" s="68" t="s">
        <v>149</v>
      </c>
      <c r="I96" s="174" t="s">
        <v>303</v>
      </c>
      <c r="J96" s="51" t="s">
        <v>356</v>
      </c>
      <c r="K96" s="173">
        <v>384.0</v>
      </c>
      <c r="L96" s="7">
        <v>2175000.0</v>
      </c>
      <c r="M96" s="62" t="s">
        <v>296</v>
      </c>
      <c r="N96" s="142">
        <v>3.0</v>
      </c>
      <c r="O96" s="46">
        <v>5.0</v>
      </c>
      <c r="P96" s="16" t="s">
        <v>152</v>
      </c>
      <c r="Q96" s="130"/>
      <c r="R96" s="16" t="s">
        <v>297</v>
      </c>
      <c r="S96" s="130"/>
      <c r="T96" s="80"/>
      <c r="U96" s="80"/>
      <c r="V96" s="170"/>
      <c r="W96" s="130"/>
      <c r="X96" s="175" t="s">
        <v>150</v>
      </c>
      <c r="Y96" s="60" t="s">
        <v>86</v>
      </c>
      <c r="Z96" s="9" t="s">
        <v>87</v>
      </c>
      <c r="AA96" s="68" t="s">
        <v>151</v>
      </c>
      <c r="AB96" s="130"/>
      <c r="AC96" s="130"/>
      <c r="AD96" s="130"/>
    </row>
    <row r="97">
      <c r="A97" s="56">
        <v>13.0</v>
      </c>
      <c r="B97" s="56" t="s">
        <v>148</v>
      </c>
      <c r="C97" s="68" t="s">
        <v>112</v>
      </c>
      <c r="D97" s="46">
        <v>80.0</v>
      </c>
      <c r="E97" s="174">
        <v>15.0</v>
      </c>
      <c r="F97" s="9" t="str">
        <f t="shared" si="1"/>
        <v>TH</v>
      </c>
      <c r="G97" s="7" t="str">
        <f t="shared" si="2"/>
        <v>MAJ80-B-15-TH</v>
      </c>
      <c r="H97" s="68" t="s">
        <v>149</v>
      </c>
      <c r="I97" s="174" t="s">
        <v>303</v>
      </c>
      <c r="J97" s="51" t="s">
        <v>356</v>
      </c>
      <c r="K97" s="173">
        <v>384.0</v>
      </c>
      <c r="L97" s="7">
        <v>2175000.0</v>
      </c>
      <c r="M97" s="62" t="s">
        <v>296</v>
      </c>
      <c r="N97" s="142">
        <v>3.0</v>
      </c>
      <c r="O97" s="46">
        <v>5.0</v>
      </c>
      <c r="P97" s="16" t="s">
        <v>152</v>
      </c>
      <c r="Q97" s="130"/>
      <c r="R97" s="16" t="s">
        <v>297</v>
      </c>
      <c r="S97" s="130"/>
      <c r="T97" s="80"/>
      <c r="U97" s="80"/>
      <c r="V97" s="170"/>
      <c r="W97" s="130"/>
      <c r="X97" s="175" t="s">
        <v>150</v>
      </c>
      <c r="Y97" s="60" t="s">
        <v>86</v>
      </c>
      <c r="Z97" s="9" t="s">
        <v>87</v>
      </c>
      <c r="AA97" s="68" t="s">
        <v>151</v>
      </c>
      <c r="AB97" s="130"/>
      <c r="AC97" s="130"/>
      <c r="AD97" s="130"/>
    </row>
    <row r="98">
      <c r="A98" s="56">
        <v>13.0</v>
      </c>
      <c r="B98" s="56" t="s">
        <v>148</v>
      </c>
      <c r="C98" s="68" t="s">
        <v>112</v>
      </c>
      <c r="D98" s="46">
        <v>80.0</v>
      </c>
      <c r="E98" s="174">
        <v>16.0</v>
      </c>
      <c r="F98" s="9" t="str">
        <f t="shared" si="1"/>
        <v>TH</v>
      </c>
      <c r="G98" s="7" t="str">
        <f t="shared" si="2"/>
        <v>MAJ80-C-16-TH</v>
      </c>
      <c r="H98" s="68" t="s">
        <v>149</v>
      </c>
      <c r="I98" s="174" t="s">
        <v>317</v>
      </c>
      <c r="J98" s="51" t="s">
        <v>356</v>
      </c>
      <c r="K98" s="173">
        <v>517.0</v>
      </c>
      <c r="L98" s="7">
        <v>2425000.0</v>
      </c>
      <c r="M98" s="62" t="s">
        <v>296</v>
      </c>
      <c r="N98" s="142">
        <v>3.0</v>
      </c>
      <c r="O98" s="46">
        <v>5.0</v>
      </c>
      <c r="P98" s="16" t="s">
        <v>152</v>
      </c>
      <c r="Q98" s="130"/>
      <c r="R98" s="16" t="s">
        <v>297</v>
      </c>
      <c r="S98" s="130"/>
      <c r="T98" s="80"/>
      <c r="U98" s="80"/>
      <c r="V98" s="170"/>
      <c r="W98" s="130"/>
      <c r="X98" s="175" t="s">
        <v>150</v>
      </c>
      <c r="Y98" s="60" t="s">
        <v>86</v>
      </c>
      <c r="Z98" s="9" t="s">
        <v>87</v>
      </c>
      <c r="AA98" s="68" t="s">
        <v>151</v>
      </c>
      <c r="AB98" s="130"/>
      <c r="AC98" s="130"/>
      <c r="AD98" s="130"/>
    </row>
    <row r="99">
      <c r="A99" s="56">
        <v>13.0</v>
      </c>
      <c r="B99" s="56" t="s">
        <v>148</v>
      </c>
      <c r="C99" s="68" t="s">
        <v>112</v>
      </c>
      <c r="D99" s="46">
        <v>80.0</v>
      </c>
      <c r="E99" s="174">
        <v>17.0</v>
      </c>
      <c r="F99" s="9" t="str">
        <f t="shared" si="1"/>
        <v>TH</v>
      </c>
      <c r="G99" s="7" t="str">
        <f t="shared" si="2"/>
        <v>MAJ80-B-17-TH</v>
      </c>
      <c r="H99" s="68" t="s">
        <v>149</v>
      </c>
      <c r="I99" s="174" t="s">
        <v>303</v>
      </c>
      <c r="J99" s="51" t="s">
        <v>356</v>
      </c>
      <c r="K99" s="173">
        <v>384.0</v>
      </c>
      <c r="L99" s="7">
        <v>2175000.0</v>
      </c>
      <c r="M99" s="62" t="s">
        <v>296</v>
      </c>
      <c r="N99" s="142">
        <v>3.0</v>
      </c>
      <c r="O99" s="46">
        <v>5.0</v>
      </c>
      <c r="P99" s="16" t="s">
        <v>152</v>
      </c>
      <c r="Q99" s="130"/>
      <c r="R99" s="16" t="s">
        <v>297</v>
      </c>
      <c r="S99" s="130"/>
      <c r="T99" s="80"/>
      <c r="U99" s="80"/>
      <c r="V99" s="170"/>
      <c r="W99" s="130"/>
      <c r="X99" s="175" t="s">
        <v>150</v>
      </c>
      <c r="Y99" s="60" t="s">
        <v>86</v>
      </c>
      <c r="Z99" s="9" t="s">
        <v>87</v>
      </c>
      <c r="AA99" s="68" t="s">
        <v>151</v>
      </c>
      <c r="AB99" s="130"/>
      <c r="AC99" s="130"/>
      <c r="AD99" s="130"/>
    </row>
    <row r="100">
      <c r="A100" s="56">
        <v>13.0</v>
      </c>
      <c r="B100" s="56" t="s">
        <v>148</v>
      </c>
      <c r="C100" s="68" t="s">
        <v>112</v>
      </c>
      <c r="D100" s="46">
        <v>80.0</v>
      </c>
      <c r="E100" s="174">
        <v>18.0</v>
      </c>
      <c r="F100" s="9" t="str">
        <f t="shared" si="1"/>
        <v>TH</v>
      </c>
      <c r="G100" s="7" t="str">
        <f t="shared" si="2"/>
        <v>MAJ80-B-18-TH</v>
      </c>
      <c r="H100" s="68" t="s">
        <v>149</v>
      </c>
      <c r="I100" s="174" t="s">
        <v>303</v>
      </c>
      <c r="J100" s="51" t="s">
        <v>356</v>
      </c>
      <c r="K100" s="173">
        <v>384.0</v>
      </c>
      <c r="L100" s="7">
        <v>2175000.0</v>
      </c>
      <c r="M100" s="62" t="s">
        <v>296</v>
      </c>
      <c r="N100" s="142">
        <v>3.0</v>
      </c>
      <c r="O100" s="46">
        <v>5.0</v>
      </c>
      <c r="P100" s="16" t="s">
        <v>152</v>
      </c>
      <c r="Q100" s="130"/>
      <c r="R100" s="16" t="s">
        <v>297</v>
      </c>
      <c r="S100" s="130"/>
      <c r="T100" s="80"/>
      <c r="U100" s="80"/>
      <c r="V100" s="170"/>
      <c r="W100" s="130"/>
      <c r="X100" s="175" t="s">
        <v>150</v>
      </c>
      <c r="Y100" s="60" t="s">
        <v>86</v>
      </c>
      <c r="Z100" s="9" t="s">
        <v>87</v>
      </c>
      <c r="AA100" s="68" t="s">
        <v>151</v>
      </c>
      <c r="AB100" s="130"/>
      <c r="AC100" s="130"/>
      <c r="AD100" s="130"/>
    </row>
    <row r="101">
      <c r="A101" s="56">
        <v>13.0</v>
      </c>
      <c r="B101" s="56" t="s">
        <v>148</v>
      </c>
      <c r="C101" s="68" t="s">
        <v>112</v>
      </c>
      <c r="D101" s="46">
        <v>80.0</v>
      </c>
      <c r="E101" s="174">
        <v>19.0</v>
      </c>
      <c r="F101" s="9" t="str">
        <f t="shared" si="1"/>
        <v>TH</v>
      </c>
      <c r="G101" s="7" t="str">
        <f t="shared" si="2"/>
        <v>MAJ80-B-19-TH</v>
      </c>
      <c r="H101" s="68" t="s">
        <v>149</v>
      </c>
      <c r="I101" s="174" t="s">
        <v>303</v>
      </c>
      <c r="J101" s="51" t="s">
        <v>356</v>
      </c>
      <c r="K101" s="173">
        <v>384.0</v>
      </c>
      <c r="L101" s="7">
        <v>2175000.0</v>
      </c>
      <c r="M101" s="62" t="s">
        <v>296</v>
      </c>
      <c r="N101" s="142">
        <v>3.0</v>
      </c>
      <c r="O101" s="46">
        <v>5.0</v>
      </c>
      <c r="P101" s="16" t="s">
        <v>152</v>
      </c>
      <c r="Q101" s="130"/>
      <c r="R101" s="16" t="s">
        <v>297</v>
      </c>
      <c r="S101" s="130"/>
      <c r="T101" s="80"/>
      <c r="U101" s="80"/>
      <c r="V101" s="170"/>
      <c r="W101" s="130"/>
      <c r="X101" s="175" t="s">
        <v>150</v>
      </c>
      <c r="Y101" s="60" t="s">
        <v>86</v>
      </c>
      <c r="Z101" s="9" t="s">
        <v>87</v>
      </c>
      <c r="AA101" s="68" t="s">
        <v>151</v>
      </c>
      <c r="AB101" s="130"/>
      <c r="AC101" s="130"/>
      <c r="AD101" s="130"/>
    </row>
    <row r="102">
      <c r="A102" s="56">
        <v>13.0</v>
      </c>
      <c r="B102" s="56" t="s">
        <v>148</v>
      </c>
      <c r="C102" s="68" t="s">
        <v>112</v>
      </c>
      <c r="D102" s="46">
        <v>80.0</v>
      </c>
      <c r="E102" s="174">
        <v>20.0</v>
      </c>
      <c r="F102" s="9" t="str">
        <f t="shared" si="1"/>
        <v>TH</v>
      </c>
      <c r="G102" s="7" t="str">
        <f t="shared" si="2"/>
        <v>MAJ80-B-20-TH</v>
      </c>
      <c r="H102" s="68" t="s">
        <v>149</v>
      </c>
      <c r="I102" s="174" t="s">
        <v>303</v>
      </c>
      <c r="J102" s="51" t="s">
        <v>356</v>
      </c>
      <c r="K102" s="173">
        <v>384.0</v>
      </c>
      <c r="L102" s="7">
        <v>2175000.0</v>
      </c>
      <c r="M102" s="62" t="s">
        <v>296</v>
      </c>
      <c r="N102" s="142">
        <v>3.0</v>
      </c>
      <c r="O102" s="46">
        <v>5.0</v>
      </c>
      <c r="P102" s="16" t="s">
        <v>152</v>
      </c>
      <c r="Q102" s="130"/>
      <c r="R102" s="16" t="s">
        <v>297</v>
      </c>
      <c r="S102" s="130"/>
      <c r="T102" s="80"/>
      <c r="U102" s="80"/>
      <c r="V102" s="170"/>
      <c r="W102" s="130"/>
      <c r="X102" s="175" t="s">
        <v>150</v>
      </c>
      <c r="Y102" s="60" t="s">
        <v>86</v>
      </c>
      <c r="Z102" s="9" t="s">
        <v>87</v>
      </c>
      <c r="AA102" s="68" t="s">
        <v>151</v>
      </c>
      <c r="AB102" s="130"/>
      <c r="AC102" s="130"/>
      <c r="AD102" s="130"/>
    </row>
    <row r="103">
      <c r="A103" s="56">
        <v>13.0</v>
      </c>
      <c r="B103" s="56" t="s">
        <v>148</v>
      </c>
      <c r="C103" s="68" t="s">
        <v>112</v>
      </c>
      <c r="D103" s="46">
        <v>80.0</v>
      </c>
      <c r="E103" s="174">
        <v>21.0</v>
      </c>
      <c r="F103" s="9" t="str">
        <f t="shared" si="1"/>
        <v>TH</v>
      </c>
      <c r="G103" s="7" t="str">
        <f t="shared" si="2"/>
        <v>MAJ80-B-21-TH</v>
      </c>
      <c r="H103" s="68" t="s">
        <v>149</v>
      </c>
      <c r="I103" s="174" t="s">
        <v>303</v>
      </c>
      <c r="J103" s="51" t="s">
        <v>356</v>
      </c>
      <c r="K103" s="173">
        <v>384.0</v>
      </c>
      <c r="L103" s="7">
        <v>2175000.0</v>
      </c>
      <c r="M103" s="62" t="s">
        <v>296</v>
      </c>
      <c r="N103" s="142">
        <v>3.0</v>
      </c>
      <c r="O103" s="46">
        <v>5.0</v>
      </c>
      <c r="P103" s="16" t="s">
        <v>152</v>
      </c>
      <c r="Q103" s="130"/>
      <c r="R103" s="16" t="s">
        <v>297</v>
      </c>
      <c r="S103" s="130"/>
      <c r="T103" s="80"/>
      <c r="U103" s="80"/>
      <c r="V103" s="170"/>
      <c r="W103" s="130"/>
      <c r="X103" s="175" t="s">
        <v>150</v>
      </c>
      <c r="Y103" s="60" t="s">
        <v>86</v>
      </c>
      <c r="Z103" s="9" t="s">
        <v>87</v>
      </c>
      <c r="AA103" s="68" t="s">
        <v>151</v>
      </c>
      <c r="AB103" s="130"/>
      <c r="AC103" s="130"/>
      <c r="AD103" s="130"/>
    </row>
    <row r="104">
      <c r="A104" s="56">
        <v>13.0</v>
      </c>
      <c r="B104" s="56" t="s">
        <v>148</v>
      </c>
      <c r="C104" s="68" t="s">
        <v>112</v>
      </c>
      <c r="D104" s="46">
        <v>80.0</v>
      </c>
      <c r="E104" s="174">
        <v>22.0</v>
      </c>
      <c r="F104" s="9" t="str">
        <f t="shared" si="1"/>
        <v>TH</v>
      </c>
      <c r="G104" s="7" t="str">
        <f t="shared" si="2"/>
        <v>MAJ80-B-22-TH</v>
      </c>
      <c r="H104" s="68" t="s">
        <v>149</v>
      </c>
      <c r="I104" s="174" t="s">
        <v>303</v>
      </c>
      <c r="J104" s="51" t="s">
        <v>356</v>
      </c>
      <c r="K104" s="173">
        <v>384.0</v>
      </c>
      <c r="L104" s="7">
        <v>2175000.0</v>
      </c>
      <c r="M104" s="62" t="s">
        <v>296</v>
      </c>
      <c r="N104" s="142">
        <v>3.0</v>
      </c>
      <c r="O104" s="46">
        <v>5.0</v>
      </c>
      <c r="P104" s="16" t="s">
        <v>152</v>
      </c>
      <c r="Q104" s="130"/>
      <c r="R104" s="16" t="s">
        <v>297</v>
      </c>
      <c r="S104" s="130"/>
      <c r="T104" s="80"/>
      <c r="U104" s="80"/>
      <c r="V104" s="170"/>
      <c r="W104" s="130"/>
      <c r="X104" s="175" t="s">
        <v>150</v>
      </c>
      <c r="Y104" s="60" t="s">
        <v>86</v>
      </c>
      <c r="Z104" s="9" t="s">
        <v>87</v>
      </c>
      <c r="AA104" s="68" t="s">
        <v>151</v>
      </c>
      <c r="AB104" s="130"/>
      <c r="AC104" s="130"/>
      <c r="AD104" s="130"/>
    </row>
    <row r="105">
      <c r="A105" s="56">
        <v>13.0</v>
      </c>
      <c r="B105" s="56" t="s">
        <v>148</v>
      </c>
      <c r="C105" s="68" t="s">
        <v>112</v>
      </c>
      <c r="D105" s="46">
        <v>80.0</v>
      </c>
      <c r="E105" s="174">
        <v>23.0</v>
      </c>
      <c r="F105" s="9" t="str">
        <f t="shared" si="1"/>
        <v>TH</v>
      </c>
      <c r="G105" s="7" t="str">
        <f t="shared" si="2"/>
        <v>MAJ80-B-23-TH</v>
      </c>
      <c r="H105" s="68" t="s">
        <v>149</v>
      </c>
      <c r="I105" s="174" t="s">
        <v>303</v>
      </c>
      <c r="J105" s="51" t="s">
        <v>356</v>
      </c>
      <c r="K105" s="173">
        <v>384.0</v>
      </c>
      <c r="L105" s="7">
        <v>2175000.0</v>
      </c>
      <c r="M105" s="62" t="s">
        <v>296</v>
      </c>
      <c r="N105" s="142">
        <v>3.0</v>
      </c>
      <c r="O105" s="46">
        <v>5.0</v>
      </c>
      <c r="P105" s="16" t="s">
        <v>152</v>
      </c>
      <c r="Q105" s="130"/>
      <c r="R105" s="16" t="s">
        <v>297</v>
      </c>
      <c r="S105" s="130"/>
      <c r="T105" s="80"/>
      <c r="U105" s="80"/>
      <c r="V105" s="170"/>
      <c r="W105" s="130"/>
      <c r="X105" s="175" t="s">
        <v>150</v>
      </c>
      <c r="Y105" s="60" t="s">
        <v>86</v>
      </c>
      <c r="Z105" s="9" t="s">
        <v>87</v>
      </c>
      <c r="AA105" s="68" t="s">
        <v>151</v>
      </c>
      <c r="AB105" s="130"/>
      <c r="AC105" s="130"/>
      <c r="AD105" s="130"/>
    </row>
    <row r="106">
      <c r="A106" s="56">
        <v>13.0</v>
      </c>
      <c r="B106" s="56" t="s">
        <v>148</v>
      </c>
      <c r="C106" s="68" t="s">
        <v>112</v>
      </c>
      <c r="D106" s="46">
        <v>80.0</v>
      </c>
      <c r="E106" s="174">
        <v>24.0</v>
      </c>
      <c r="F106" s="9" t="str">
        <f t="shared" si="1"/>
        <v>TH</v>
      </c>
      <c r="G106" s="7" t="str">
        <f t="shared" si="2"/>
        <v>MAJ80-B-24-TH</v>
      </c>
      <c r="H106" s="68" t="s">
        <v>149</v>
      </c>
      <c r="I106" s="174" t="s">
        <v>303</v>
      </c>
      <c r="J106" s="51" t="s">
        <v>356</v>
      </c>
      <c r="K106" s="173">
        <v>384.0</v>
      </c>
      <c r="L106" s="7">
        <v>2175000.0</v>
      </c>
      <c r="M106" s="62" t="s">
        <v>296</v>
      </c>
      <c r="N106" s="142">
        <v>3.0</v>
      </c>
      <c r="O106" s="46">
        <v>5.0</v>
      </c>
      <c r="P106" s="16" t="s">
        <v>152</v>
      </c>
      <c r="Q106" s="130"/>
      <c r="R106" s="16" t="s">
        <v>297</v>
      </c>
      <c r="S106" s="130"/>
      <c r="T106" s="80"/>
      <c r="U106" s="80"/>
      <c r="V106" s="170"/>
      <c r="W106" s="130"/>
      <c r="X106" s="175" t="s">
        <v>150</v>
      </c>
      <c r="Y106" s="60" t="s">
        <v>86</v>
      </c>
      <c r="Z106" s="9" t="s">
        <v>87</v>
      </c>
      <c r="AA106" s="68" t="s">
        <v>151</v>
      </c>
      <c r="AB106" s="130"/>
      <c r="AC106" s="130"/>
      <c r="AD106" s="130"/>
    </row>
    <row r="107">
      <c r="A107" s="56">
        <v>14.0</v>
      </c>
      <c r="B107" s="56" t="str">
        <f t="shared" ref="B107:B263" si="3">"ALN"&amp;D107</f>
        <v>ALN88</v>
      </c>
      <c r="C107" s="68" t="s">
        <v>118</v>
      </c>
      <c r="D107" s="46">
        <v>88.0</v>
      </c>
      <c r="E107" s="174">
        <v>12.0</v>
      </c>
      <c r="F107" s="176" t="s">
        <v>357</v>
      </c>
      <c r="G107" s="7" t="str">
        <f t="shared" si="2"/>
        <v>ALN88--12-AP</v>
      </c>
      <c r="H107" s="68" t="str">
        <f t="shared" ref="H107:H263" si="4">"ألين - "&amp;D107</f>
        <v>ألين - 88</v>
      </c>
      <c r="I107" s="177"/>
      <c r="J107" s="51" t="s">
        <v>301</v>
      </c>
      <c r="K107" s="173">
        <v>109.0</v>
      </c>
      <c r="L107" s="7">
        <v>1499000.0</v>
      </c>
      <c r="M107" s="178" t="s">
        <v>296</v>
      </c>
      <c r="N107" s="46">
        <v>3.0</v>
      </c>
      <c r="O107" s="46">
        <v>2.0</v>
      </c>
      <c r="P107" s="179" t="s">
        <v>358</v>
      </c>
      <c r="Q107" s="80"/>
      <c r="R107" s="80"/>
      <c r="S107" s="80"/>
      <c r="T107" s="80"/>
      <c r="U107" s="80"/>
      <c r="V107" s="180"/>
      <c r="W107" s="80"/>
      <c r="X107" s="180" t="s">
        <v>154</v>
      </c>
      <c r="Y107" s="60"/>
      <c r="Z107" s="60"/>
      <c r="AA107" s="68" t="s">
        <v>155</v>
      </c>
      <c r="AB107" s="130"/>
      <c r="AC107" s="72" t="s">
        <v>156</v>
      </c>
      <c r="AD107" s="130"/>
    </row>
    <row r="108">
      <c r="A108" s="56">
        <v>15.0</v>
      </c>
      <c r="B108" s="56" t="str">
        <f t="shared" si="3"/>
        <v>ALN102</v>
      </c>
      <c r="C108" s="68" t="s">
        <v>118</v>
      </c>
      <c r="D108" s="46">
        <v>102.0</v>
      </c>
      <c r="E108" s="174">
        <v>1.0</v>
      </c>
      <c r="F108" s="176" t="s">
        <v>357</v>
      </c>
      <c r="G108" s="7" t="str">
        <f t="shared" si="2"/>
        <v>ALN102--1-AP</v>
      </c>
      <c r="H108" s="68" t="str">
        <f t="shared" si="4"/>
        <v>ألين - 102</v>
      </c>
      <c r="I108" s="177"/>
      <c r="J108" s="51" t="s">
        <v>301</v>
      </c>
      <c r="K108" s="173">
        <v>99.0</v>
      </c>
      <c r="L108" s="7">
        <v>1599000.0</v>
      </c>
      <c r="M108" s="178" t="s">
        <v>322</v>
      </c>
      <c r="N108" s="46">
        <v>2.0</v>
      </c>
      <c r="O108" s="46">
        <v>3.0</v>
      </c>
      <c r="P108" s="179" t="s">
        <v>358</v>
      </c>
      <c r="Q108" s="80"/>
      <c r="R108" s="80"/>
      <c r="S108" s="16" t="s">
        <v>298</v>
      </c>
      <c r="T108" s="80"/>
      <c r="U108" s="80"/>
      <c r="V108" s="181">
        <v>45961.0</v>
      </c>
      <c r="W108" s="80"/>
      <c r="X108" s="180" t="s">
        <v>158</v>
      </c>
      <c r="Y108" s="60"/>
      <c r="Z108" s="60"/>
      <c r="AA108" s="68" t="s">
        <v>159</v>
      </c>
      <c r="AB108" s="130"/>
      <c r="AC108" s="72" t="s">
        <v>160</v>
      </c>
      <c r="AD108" s="130"/>
    </row>
    <row r="109">
      <c r="A109" s="56">
        <v>15.0</v>
      </c>
      <c r="B109" s="56" t="str">
        <f t="shared" si="3"/>
        <v>ALN102</v>
      </c>
      <c r="C109" s="68" t="s">
        <v>118</v>
      </c>
      <c r="D109" s="46">
        <v>102.0</v>
      </c>
      <c r="E109" s="174">
        <v>3.0</v>
      </c>
      <c r="F109" s="176" t="s">
        <v>357</v>
      </c>
      <c r="G109" s="7" t="str">
        <f t="shared" si="2"/>
        <v>ALN102--3-AP</v>
      </c>
      <c r="H109" s="68" t="str">
        <f t="shared" si="4"/>
        <v>ألين - 102</v>
      </c>
      <c r="I109" s="177"/>
      <c r="J109" s="51" t="s">
        <v>301</v>
      </c>
      <c r="K109" s="173">
        <v>137.0</v>
      </c>
      <c r="L109" s="7">
        <v>1879000.0</v>
      </c>
      <c r="M109" s="178" t="s">
        <v>322</v>
      </c>
      <c r="N109" s="46">
        <v>3.0</v>
      </c>
      <c r="O109" s="46">
        <v>4.0</v>
      </c>
      <c r="P109" s="179" t="s">
        <v>358</v>
      </c>
      <c r="Q109" s="80"/>
      <c r="R109" s="80"/>
      <c r="S109" s="16" t="s">
        <v>298</v>
      </c>
      <c r="T109" s="80"/>
      <c r="U109" s="80"/>
      <c r="V109" s="181">
        <v>45961.0</v>
      </c>
      <c r="W109" s="80"/>
      <c r="X109" s="80"/>
      <c r="Y109" s="60"/>
      <c r="Z109" s="60"/>
      <c r="AA109" s="68" t="s">
        <v>159</v>
      </c>
      <c r="AB109" s="130"/>
      <c r="AC109" s="72" t="s">
        <v>160</v>
      </c>
      <c r="AD109" s="130"/>
    </row>
    <row r="110">
      <c r="A110" s="56">
        <v>16.0</v>
      </c>
      <c r="B110" s="56" t="str">
        <f t="shared" si="3"/>
        <v>ALN104</v>
      </c>
      <c r="C110" s="68" t="s">
        <v>118</v>
      </c>
      <c r="D110" s="46">
        <v>104.0</v>
      </c>
      <c r="E110" s="174">
        <v>5.0</v>
      </c>
      <c r="F110" s="176" t="s">
        <v>357</v>
      </c>
      <c r="G110" s="7" t="str">
        <f t="shared" si="2"/>
        <v>ALN104--5-AP</v>
      </c>
      <c r="H110" s="68" t="str">
        <f t="shared" si="4"/>
        <v>ألين - 104</v>
      </c>
      <c r="I110" s="177"/>
      <c r="J110" s="51" t="s">
        <v>301</v>
      </c>
      <c r="K110" s="173">
        <v>164.0</v>
      </c>
      <c r="L110" s="7">
        <v>1999000.0</v>
      </c>
      <c r="M110" s="178" t="s">
        <v>306</v>
      </c>
      <c r="N110" s="46">
        <v>4.0</v>
      </c>
      <c r="O110" s="46">
        <v>3.0</v>
      </c>
      <c r="P110" s="179" t="s">
        <v>358</v>
      </c>
      <c r="Q110" s="80"/>
      <c r="R110" s="80"/>
      <c r="S110" s="16" t="s">
        <v>298</v>
      </c>
      <c r="T110" s="80"/>
      <c r="U110" s="80"/>
      <c r="V110" s="181">
        <v>45961.0</v>
      </c>
      <c r="W110" s="80"/>
      <c r="X110" s="180" t="s">
        <v>162</v>
      </c>
      <c r="Y110" s="60"/>
      <c r="Z110" s="60"/>
      <c r="AA110" s="68" t="s">
        <v>163</v>
      </c>
      <c r="AB110" s="130"/>
      <c r="AC110" s="72" t="s">
        <v>164</v>
      </c>
      <c r="AD110" s="130"/>
    </row>
    <row r="111">
      <c r="A111" s="56">
        <v>16.0</v>
      </c>
      <c r="B111" s="56" t="str">
        <f t="shared" si="3"/>
        <v>ALN104</v>
      </c>
      <c r="C111" s="68" t="s">
        <v>118</v>
      </c>
      <c r="D111" s="46">
        <v>104.0</v>
      </c>
      <c r="E111" s="174">
        <v>14.0</v>
      </c>
      <c r="F111" s="176" t="s">
        <v>357</v>
      </c>
      <c r="G111" s="7" t="str">
        <f t="shared" si="2"/>
        <v>ALN104--14-AP</v>
      </c>
      <c r="H111" s="68" t="str">
        <f t="shared" si="4"/>
        <v>ألين - 104</v>
      </c>
      <c r="I111" s="177"/>
      <c r="J111" s="51" t="s">
        <v>301</v>
      </c>
      <c r="K111" s="173">
        <v>164.0</v>
      </c>
      <c r="L111" s="7">
        <v>1999000.0</v>
      </c>
      <c r="M111" s="178" t="s">
        <v>306</v>
      </c>
      <c r="N111" s="46">
        <v>4.0</v>
      </c>
      <c r="O111" s="46">
        <v>3.0</v>
      </c>
      <c r="P111" s="179" t="s">
        <v>358</v>
      </c>
      <c r="Q111" s="80"/>
      <c r="R111" s="80"/>
      <c r="S111" s="16" t="s">
        <v>318</v>
      </c>
      <c r="T111" s="80"/>
      <c r="U111" s="80"/>
      <c r="V111" s="181">
        <v>45961.0</v>
      </c>
      <c r="W111" s="80"/>
      <c r="X111" s="80"/>
      <c r="Y111" s="60"/>
      <c r="Z111" s="60"/>
      <c r="AA111" s="68" t="s">
        <v>163</v>
      </c>
      <c r="AB111" s="130"/>
      <c r="AC111" s="72" t="s">
        <v>164</v>
      </c>
      <c r="AD111" s="130"/>
    </row>
    <row r="112">
      <c r="A112" s="56">
        <v>16.0</v>
      </c>
      <c r="B112" s="56" t="str">
        <f t="shared" si="3"/>
        <v>ALN104</v>
      </c>
      <c r="C112" s="68" t="s">
        <v>118</v>
      </c>
      <c r="D112" s="46">
        <v>104.0</v>
      </c>
      <c r="E112" s="174">
        <v>15.0</v>
      </c>
      <c r="F112" s="176" t="s">
        <v>357</v>
      </c>
      <c r="G112" s="7" t="str">
        <f t="shared" si="2"/>
        <v>ALN104--15-AP</v>
      </c>
      <c r="H112" s="68" t="str">
        <f t="shared" si="4"/>
        <v>ألين - 104</v>
      </c>
      <c r="I112" s="177"/>
      <c r="J112" s="51" t="s">
        <v>301</v>
      </c>
      <c r="K112" s="173">
        <v>149.0</v>
      </c>
      <c r="L112" s="7">
        <v>1839000.0</v>
      </c>
      <c r="M112" s="178" t="s">
        <v>322</v>
      </c>
      <c r="N112" s="46">
        <v>4.0</v>
      </c>
      <c r="O112" s="46">
        <v>3.0</v>
      </c>
      <c r="P112" s="179" t="s">
        <v>358</v>
      </c>
      <c r="Q112" s="80"/>
      <c r="R112" s="80"/>
      <c r="S112" s="80"/>
      <c r="T112" s="80"/>
      <c r="U112" s="80"/>
      <c r="V112" s="181">
        <v>46326.0</v>
      </c>
      <c r="W112" s="80"/>
      <c r="X112" s="80"/>
      <c r="Y112" s="60"/>
      <c r="Z112" s="60"/>
      <c r="AA112" s="68" t="s">
        <v>163</v>
      </c>
      <c r="AB112" s="130"/>
      <c r="AC112" s="72" t="s">
        <v>164</v>
      </c>
      <c r="AD112" s="130"/>
    </row>
    <row r="113">
      <c r="A113" s="56">
        <v>17.0</v>
      </c>
      <c r="B113" s="56" t="str">
        <f t="shared" si="3"/>
        <v>ALN112</v>
      </c>
      <c r="C113" s="68" t="s">
        <v>118</v>
      </c>
      <c r="D113" s="46">
        <v>112.0</v>
      </c>
      <c r="E113" s="174">
        <v>13.0</v>
      </c>
      <c r="F113" s="176" t="s">
        <v>357</v>
      </c>
      <c r="G113" s="7" t="str">
        <f t="shared" si="2"/>
        <v>ALN112--13-AP</v>
      </c>
      <c r="H113" s="68" t="str">
        <f t="shared" si="4"/>
        <v>ألين - 112</v>
      </c>
      <c r="I113" s="177"/>
      <c r="J113" s="51" t="s">
        <v>301</v>
      </c>
      <c r="K113" s="173">
        <v>135.0</v>
      </c>
      <c r="L113" s="7">
        <v>1549000.0</v>
      </c>
      <c r="M113" s="178" t="s">
        <v>322</v>
      </c>
      <c r="N113" s="46">
        <v>3.0</v>
      </c>
      <c r="O113" s="46">
        <v>3.0</v>
      </c>
      <c r="P113" s="179" t="s">
        <v>358</v>
      </c>
      <c r="Q113" s="80"/>
      <c r="R113" s="80"/>
      <c r="S113" s="80"/>
      <c r="T113" s="80"/>
      <c r="U113" s="80"/>
      <c r="V113" s="181">
        <v>46022.0</v>
      </c>
      <c r="W113" s="80"/>
      <c r="X113" s="180" t="s">
        <v>166</v>
      </c>
      <c r="Y113" s="60"/>
      <c r="Z113" s="60"/>
      <c r="AA113" s="68" t="s">
        <v>167</v>
      </c>
      <c r="AB113" s="130"/>
      <c r="AC113" s="72" t="s">
        <v>168</v>
      </c>
      <c r="AD113" s="130"/>
    </row>
    <row r="114">
      <c r="A114" s="56">
        <v>17.0</v>
      </c>
      <c r="B114" s="56" t="str">
        <f t="shared" si="3"/>
        <v>ALN112</v>
      </c>
      <c r="C114" s="68" t="s">
        <v>118</v>
      </c>
      <c r="D114" s="46">
        <v>112.0</v>
      </c>
      <c r="E114" s="174">
        <v>14.0</v>
      </c>
      <c r="F114" s="176" t="s">
        <v>357</v>
      </c>
      <c r="G114" s="7" t="str">
        <f t="shared" si="2"/>
        <v>ALN112--14-AP</v>
      </c>
      <c r="H114" s="68" t="str">
        <f t="shared" si="4"/>
        <v>ألين - 112</v>
      </c>
      <c r="I114" s="177"/>
      <c r="J114" s="51" t="s">
        <v>301</v>
      </c>
      <c r="K114" s="173">
        <v>135.0</v>
      </c>
      <c r="L114" s="7">
        <v>1549000.0</v>
      </c>
      <c r="M114" s="178" t="s">
        <v>322</v>
      </c>
      <c r="N114" s="46">
        <v>3.0</v>
      </c>
      <c r="O114" s="46">
        <v>3.0</v>
      </c>
      <c r="P114" s="179" t="s">
        <v>358</v>
      </c>
      <c r="Q114" s="80"/>
      <c r="R114" s="80"/>
      <c r="S114" s="80"/>
      <c r="T114" s="80"/>
      <c r="U114" s="80"/>
      <c r="V114" s="181">
        <v>46022.0</v>
      </c>
      <c r="W114" s="80"/>
      <c r="X114" s="80"/>
      <c r="Y114" s="60"/>
      <c r="Z114" s="60"/>
      <c r="AA114" s="68" t="s">
        <v>167</v>
      </c>
      <c r="AB114" s="130"/>
      <c r="AC114" s="72" t="s">
        <v>168</v>
      </c>
      <c r="AD114" s="130"/>
    </row>
    <row r="115">
      <c r="A115" s="56">
        <v>17.0</v>
      </c>
      <c r="B115" s="56" t="str">
        <f t="shared" si="3"/>
        <v>ALN112</v>
      </c>
      <c r="C115" s="68" t="s">
        <v>118</v>
      </c>
      <c r="D115" s="46">
        <v>112.0</v>
      </c>
      <c r="E115" s="174">
        <v>16.0</v>
      </c>
      <c r="F115" s="176" t="s">
        <v>357</v>
      </c>
      <c r="G115" s="7" t="str">
        <f t="shared" si="2"/>
        <v>ALN112--16-AP</v>
      </c>
      <c r="H115" s="68" t="str">
        <f t="shared" si="4"/>
        <v>ألين - 112</v>
      </c>
      <c r="I115" s="177"/>
      <c r="J115" s="51" t="s">
        <v>301</v>
      </c>
      <c r="K115" s="173">
        <v>126.0</v>
      </c>
      <c r="L115" s="7">
        <v>1779000.0</v>
      </c>
      <c r="M115" s="178" t="s">
        <v>322</v>
      </c>
      <c r="N115" s="46">
        <v>3.0</v>
      </c>
      <c r="O115" s="46">
        <v>3.0</v>
      </c>
      <c r="P115" s="179" t="s">
        <v>358</v>
      </c>
      <c r="Q115" s="80"/>
      <c r="R115" s="80"/>
      <c r="S115" s="80"/>
      <c r="T115" s="80"/>
      <c r="U115" s="80"/>
      <c r="V115" s="181">
        <v>46022.0</v>
      </c>
      <c r="W115" s="80"/>
      <c r="X115" s="80"/>
      <c r="Y115" s="60"/>
      <c r="Z115" s="60"/>
      <c r="AA115" s="68" t="s">
        <v>167</v>
      </c>
      <c r="AB115" s="130"/>
      <c r="AC115" s="72" t="s">
        <v>168</v>
      </c>
      <c r="AD115" s="130"/>
    </row>
    <row r="116">
      <c r="A116" s="56">
        <v>17.0</v>
      </c>
      <c r="B116" s="56" t="str">
        <f t="shared" si="3"/>
        <v>ALN112</v>
      </c>
      <c r="C116" s="68" t="s">
        <v>118</v>
      </c>
      <c r="D116" s="46">
        <v>112.0</v>
      </c>
      <c r="E116" s="174">
        <v>17.0</v>
      </c>
      <c r="F116" s="176" t="s">
        <v>357</v>
      </c>
      <c r="G116" s="7" t="str">
        <f t="shared" si="2"/>
        <v>ALN112--17-AP</v>
      </c>
      <c r="H116" s="68" t="str">
        <f t="shared" si="4"/>
        <v>ألين - 112</v>
      </c>
      <c r="I116" s="177"/>
      <c r="J116" s="51" t="s">
        <v>301</v>
      </c>
      <c r="K116" s="173">
        <v>133.0</v>
      </c>
      <c r="L116" s="7">
        <v>1849000.0</v>
      </c>
      <c r="M116" s="178" t="s">
        <v>322</v>
      </c>
      <c r="N116" s="46">
        <v>3.0</v>
      </c>
      <c r="O116" s="46">
        <v>3.0</v>
      </c>
      <c r="P116" s="179" t="s">
        <v>358</v>
      </c>
      <c r="Q116" s="80"/>
      <c r="R116" s="80"/>
      <c r="S116" s="80"/>
      <c r="T116" s="80"/>
      <c r="U116" s="80"/>
      <c r="V116" s="181">
        <v>46022.0</v>
      </c>
      <c r="W116" s="80"/>
      <c r="X116" s="80"/>
      <c r="Y116" s="60"/>
      <c r="Z116" s="60"/>
      <c r="AA116" s="68" t="s">
        <v>167</v>
      </c>
      <c r="AB116" s="130"/>
      <c r="AC116" s="72" t="s">
        <v>168</v>
      </c>
      <c r="AD116" s="130"/>
    </row>
    <row r="117">
      <c r="A117" s="56">
        <v>17.0</v>
      </c>
      <c r="B117" s="56" t="str">
        <f t="shared" si="3"/>
        <v>ALN112</v>
      </c>
      <c r="C117" s="68" t="s">
        <v>118</v>
      </c>
      <c r="D117" s="46">
        <v>112.0</v>
      </c>
      <c r="E117" s="174">
        <v>20.0</v>
      </c>
      <c r="F117" s="176" t="s">
        <v>357</v>
      </c>
      <c r="G117" s="7" t="str">
        <f t="shared" si="2"/>
        <v>ALN112--20-AP</v>
      </c>
      <c r="H117" s="68" t="str">
        <f t="shared" si="4"/>
        <v>ألين - 112</v>
      </c>
      <c r="I117" s="177"/>
      <c r="J117" s="51" t="s">
        <v>301</v>
      </c>
      <c r="K117" s="173">
        <v>135.0</v>
      </c>
      <c r="L117" s="7">
        <v>1549000.0</v>
      </c>
      <c r="M117" s="178" t="s">
        <v>322</v>
      </c>
      <c r="N117" s="46">
        <v>3.0</v>
      </c>
      <c r="O117" s="46">
        <v>3.0</v>
      </c>
      <c r="P117" s="179" t="s">
        <v>358</v>
      </c>
      <c r="Q117" s="80"/>
      <c r="R117" s="80"/>
      <c r="S117" s="80"/>
      <c r="T117" s="80"/>
      <c r="U117" s="80"/>
      <c r="V117" s="181">
        <v>46022.0</v>
      </c>
      <c r="W117" s="80"/>
      <c r="X117" s="80"/>
      <c r="Y117" s="60"/>
      <c r="Z117" s="60"/>
      <c r="AA117" s="68" t="s">
        <v>167</v>
      </c>
      <c r="AB117" s="130"/>
      <c r="AC117" s="72" t="s">
        <v>168</v>
      </c>
      <c r="AD117" s="130"/>
    </row>
    <row r="118">
      <c r="A118" s="56">
        <v>17.0</v>
      </c>
      <c r="B118" s="56" t="str">
        <f t="shared" si="3"/>
        <v>ALN112</v>
      </c>
      <c r="C118" s="68" t="s">
        <v>118</v>
      </c>
      <c r="D118" s="46">
        <v>112.0</v>
      </c>
      <c r="E118" s="174">
        <v>22.0</v>
      </c>
      <c r="F118" s="176" t="s">
        <v>357</v>
      </c>
      <c r="G118" s="7" t="str">
        <f t="shared" si="2"/>
        <v>ALN112--22-AP</v>
      </c>
      <c r="H118" s="68" t="str">
        <f t="shared" si="4"/>
        <v>ألين - 112</v>
      </c>
      <c r="I118" s="177"/>
      <c r="J118" s="51" t="s">
        <v>301</v>
      </c>
      <c r="K118" s="173">
        <v>114.0</v>
      </c>
      <c r="L118" s="7">
        <v>1999000.0</v>
      </c>
      <c r="M118" s="178" t="s">
        <v>322</v>
      </c>
      <c r="N118" s="46">
        <v>3.0</v>
      </c>
      <c r="O118" s="46">
        <v>3.0</v>
      </c>
      <c r="P118" s="179" t="s">
        <v>358</v>
      </c>
      <c r="Q118" s="80"/>
      <c r="R118" s="80"/>
      <c r="S118" s="80"/>
      <c r="T118" s="80"/>
      <c r="U118" s="80"/>
      <c r="V118" s="181">
        <v>46022.0</v>
      </c>
      <c r="W118" s="80"/>
      <c r="X118" s="80"/>
      <c r="Y118" s="60"/>
      <c r="Z118" s="60"/>
      <c r="AA118" s="68" t="s">
        <v>167</v>
      </c>
      <c r="AB118" s="130"/>
      <c r="AC118" s="72" t="s">
        <v>168</v>
      </c>
      <c r="AD118" s="130"/>
    </row>
    <row r="119">
      <c r="A119" s="56">
        <v>17.0</v>
      </c>
      <c r="B119" s="56" t="str">
        <f t="shared" si="3"/>
        <v>ALN112</v>
      </c>
      <c r="C119" s="68" t="s">
        <v>118</v>
      </c>
      <c r="D119" s="46">
        <v>112.0</v>
      </c>
      <c r="E119" s="174">
        <v>23.0</v>
      </c>
      <c r="F119" s="176" t="s">
        <v>357</v>
      </c>
      <c r="G119" s="7" t="str">
        <f t="shared" si="2"/>
        <v>ALN112--23-AP</v>
      </c>
      <c r="H119" s="68" t="str">
        <f t="shared" si="4"/>
        <v>ألين - 112</v>
      </c>
      <c r="I119" s="177"/>
      <c r="J119" s="51" t="s">
        <v>301</v>
      </c>
      <c r="K119" s="173">
        <v>114.0</v>
      </c>
      <c r="L119" s="7">
        <v>1999000.0</v>
      </c>
      <c r="M119" s="178" t="s">
        <v>322</v>
      </c>
      <c r="N119" s="46">
        <v>3.0</v>
      </c>
      <c r="O119" s="46">
        <v>3.0</v>
      </c>
      <c r="P119" s="179" t="s">
        <v>358</v>
      </c>
      <c r="Q119" s="80"/>
      <c r="R119" s="80"/>
      <c r="S119" s="80"/>
      <c r="T119" s="80"/>
      <c r="U119" s="80"/>
      <c r="V119" s="181">
        <v>46022.0</v>
      </c>
      <c r="W119" s="80"/>
      <c r="X119" s="80"/>
      <c r="Y119" s="60"/>
      <c r="Z119" s="60"/>
      <c r="AA119" s="68" t="s">
        <v>167</v>
      </c>
      <c r="AB119" s="130"/>
      <c r="AC119" s="72" t="s">
        <v>168</v>
      </c>
      <c r="AD119" s="130"/>
    </row>
    <row r="120">
      <c r="A120" s="56">
        <v>18.0</v>
      </c>
      <c r="B120" s="56" t="str">
        <f t="shared" si="3"/>
        <v>ALN122</v>
      </c>
      <c r="C120" s="68" t="s">
        <v>118</v>
      </c>
      <c r="D120" s="46">
        <v>122.0</v>
      </c>
      <c r="E120" s="174">
        <v>1.0</v>
      </c>
      <c r="F120" s="176" t="s">
        <v>357</v>
      </c>
      <c r="G120" s="7" t="str">
        <f t="shared" si="2"/>
        <v>ALN122--1-AP</v>
      </c>
      <c r="H120" s="68" t="str">
        <f t="shared" si="4"/>
        <v>ألين - 122</v>
      </c>
      <c r="I120" s="177"/>
      <c r="J120" s="51" t="s">
        <v>301</v>
      </c>
      <c r="K120" s="173">
        <v>139.0</v>
      </c>
      <c r="L120" s="7">
        <v>2099000.0</v>
      </c>
      <c r="M120" s="178" t="s">
        <v>322</v>
      </c>
      <c r="N120" s="46">
        <v>2.0</v>
      </c>
      <c r="O120" s="46">
        <v>3.0</v>
      </c>
      <c r="P120" s="179" t="s">
        <v>358</v>
      </c>
      <c r="Q120" s="80"/>
      <c r="R120" s="80"/>
      <c r="S120" s="80"/>
      <c r="T120" s="80"/>
      <c r="U120" s="80"/>
      <c r="V120" s="180" t="s">
        <v>170</v>
      </c>
      <c r="W120" s="80"/>
      <c r="X120" s="180" t="s">
        <v>171</v>
      </c>
      <c r="Y120" s="60"/>
      <c r="Z120" s="60"/>
      <c r="AA120" s="68" t="s">
        <v>172</v>
      </c>
      <c r="AB120" s="130"/>
      <c r="AC120" s="72" t="s">
        <v>173</v>
      </c>
      <c r="AD120" s="130"/>
    </row>
    <row r="121">
      <c r="A121" s="56">
        <v>18.0</v>
      </c>
      <c r="B121" s="56" t="str">
        <f t="shared" si="3"/>
        <v>ALN122</v>
      </c>
      <c r="C121" s="68" t="s">
        <v>118</v>
      </c>
      <c r="D121" s="46">
        <v>122.0</v>
      </c>
      <c r="E121" s="174">
        <v>2.0</v>
      </c>
      <c r="F121" s="176" t="s">
        <v>357</v>
      </c>
      <c r="G121" s="7" t="str">
        <f t="shared" si="2"/>
        <v>ALN122--2-AP</v>
      </c>
      <c r="H121" s="68" t="str">
        <f t="shared" si="4"/>
        <v>ألين - 122</v>
      </c>
      <c r="I121" s="177"/>
      <c r="J121" s="51" t="s">
        <v>301</v>
      </c>
      <c r="K121" s="173">
        <v>112.0</v>
      </c>
      <c r="L121" s="7">
        <v>1739000.0</v>
      </c>
      <c r="M121" s="178" t="s">
        <v>322</v>
      </c>
      <c r="N121" s="46">
        <v>3.0</v>
      </c>
      <c r="O121" s="46">
        <v>4.0</v>
      </c>
      <c r="P121" s="179" t="s">
        <v>358</v>
      </c>
      <c r="Q121" s="80"/>
      <c r="R121" s="80"/>
      <c r="S121" s="80"/>
      <c r="T121" s="80"/>
      <c r="U121" s="80"/>
      <c r="V121" s="180" t="s">
        <v>170</v>
      </c>
      <c r="W121" s="80"/>
      <c r="X121" s="80"/>
      <c r="Y121" s="60"/>
      <c r="Z121" s="60"/>
      <c r="AA121" s="68" t="s">
        <v>172</v>
      </c>
      <c r="AB121" s="130"/>
      <c r="AC121" s="72" t="s">
        <v>173</v>
      </c>
      <c r="AD121" s="130"/>
    </row>
    <row r="122">
      <c r="A122" s="56">
        <v>18.0</v>
      </c>
      <c r="B122" s="56" t="str">
        <f t="shared" si="3"/>
        <v>ALN122</v>
      </c>
      <c r="C122" s="68" t="s">
        <v>118</v>
      </c>
      <c r="D122" s="46">
        <v>122.0</v>
      </c>
      <c r="E122" s="174">
        <v>3.0</v>
      </c>
      <c r="F122" s="176" t="s">
        <v>357</v>
      </c>
      <c r="G122" s="7" t="str">
        <f t="shared" si="2"/>
        <v>ALN122--3-AP</v>
      </c>
      <c r="H122" s="68" t="str">
        <f t="shared" si="4"/>
        <v>ألين - 122</v>
      </c>
      <c r="I122" s="177"/>
      <c r="J122" s="51" t="s">
        <v>301</v>
      </c>
      <c r="K122" s="173">
        <v>112.0</v>
      </c>
      <c r="L122" s="7">
        <v>1739000.0</v>
      </c>
      <c r="M122" s="178" t="s">
        <v>322</v>
      </c>
      <c r="N122" s="46">
        <v>3.0</v>
      </c>
      <c r="O122" s="46">
        <v>4.0</v>
      </c>
      <c r="P122" s="179" t="s">
        <v>358</v>
      </c>
      <c r="Q122" s="80"/>
      <c r="R122" s="80"/>
      <c r="S122" s="80"/>
      <c r="T122" s="80"/>
      <c r="U122" s="80"/>
      <c r="V122" s="180" t="s">
        <v>170</v>
      </c>
      <c r="W122" s="80"/>
      <c r="X122" s="80"/>
      <c r="Y122" s="60"/>
      <c r="Z122" s="60"/>
      <c r="AA122" s="68" t="s">
        <v>172</v>
      </c>
      <c r="AB122" s="130"/>
      <c r="AC122" s="72" t="s">
        <v>173</v>
      </c>
      <c r="AD122" s="130"/>
    </row>
    <row r="123">
      <c r="A123" s="56">
        <v>18.0</v>
      </c>
      <c r="B123" s="56" t="str">
        <f t="shared" si="3"/>
        <v>ALN122</v>
      </c>
      <c r="C123" s="68" t="s">
        <v>118</v>
      </c>
      <c r="D123" s="46">
        <v>122.0</v>
      </c>
      <c r="E123" s="174">
        <v>5.0</v>
      </c>
      <c r="F123" s="176" t="s">
        <v>357</v>
      </c>
      <c r="G123" s="7" t="str">
        <f t="shared" si="2"/>
        <v>ALN122--5-AP</v>
      </c>
      <c r="H123" s="68" t="str">
        <f t="shared" si="4"/>
        <v>ألين - 122</v>
      </c>
      <c r="I123" s="177"/>
      <c r="J123" s="51" t="s">
        <v>301</v>
      </c>
      <c r="K123" s="173">
        <v>98.0</v>
      </c>
      <c r="L123" s="7">
        <v>1399000.0</v>
      </c>
      <c r="M123" s="178" t="s">
        <v>322</v>
      </c>
      <c r="N123" s="46">
        <v>1.0</v>
      </c>
      <c r="O123" s="46">
        <v>2.0</v>
      </c>
      <c r="P123" s="179" t="s">
        <v>358</v>
      </c>
      <c r="Q123" s="80"/>
      <c r="R123" s="80"/>
      <c r="S123" s="80"/>
      <c r="T123" s="80"/>
      <c r="U123" s="80"/>
      <c r="V123" s="180" t="s">
        <v>170</v>
      </c>
      <c r="W123" s="80"/>
      <c r="X123" s="80"/>
      <c r="Y123" s="60"/>
      <c r="Z123" s="60"/>
      <c r="AA123" s="68" t="s">
        <v>172</v>
      </c>
      <c r="AB123" s="130"/>
      <c r="AC123" s="72" t="s">
        <v>173</v>
      </c>
      <c r="AD123" s="130"/>
    </row>
    <row r="124">
      <c r="A124" s="56">
        <v>18.0</v>
      </c>
      <c r="B124" s="56" t="str">
        <f t="shared" si="3"/>
        <v>ALN122</v>
      </c>
      <c r="C124" s="68" t="s">
        <v>118</v>
      </c>
      <c r="D124" s="46">
        <v>122.0</v>
      </c>
      <c r="E124" s="174">
        <v>6.0</v>
      </c>
      <c r="F124" s="176" t="s">
        <v>357</v>
      </c>
      <c r="G124" s="7" t="str">
        <f t="shared" si="2"/>
        <v>ALN122--6-AP</v>
      </c>
      <c r="H124" s="68" t="str">
        <f t="shared" si="4"/>
        <v>ألين - 122</v>
      </c>
      <c r="I124" s="177"/>
      <c r="J124" s="51" t="s">
        <v>301</v>
      </c>
      <c r="K124" s="173">
        <v>126.0</v>
      </c>
      <c r="L124" s="7">
        <v>1689000.0</v>
      </c>
      <c r="M124" s="178" t="s">
        <v>322</v>
      </c>
      <c r="N124" s="46">
        <v>3.0</v>
      </c>
      <c r="O124" s="46">
        <v>4.0</v>
      </c>
      <c r="P124" s="179" t="s">
        <v>358</v>
      </c>
      <c r="Q124" s="80"/>
      <c r="R124" s="80"/>
      <c r="S124" s="80"/>
      <c r="T124" s="80"/>
      <c r="U124" s="80"/>
      <c r="V124" s="180" t="s">
        <v>170</v>
      </c>
      <c r="W124" s="80"/>
      <c r="X124" s="80"/>
      <c r="Y124" s="60"/>
      <c r="Z124" s="60"/>
      <c r="AA124" s="68" t="s">
        <v>172</v>
      </c>
      <c r="AB124" s="130"/>
      <c r="AC124" s="72" t="s">
        <v>173</v>
      </c>
      <c r="AD124" s="130"/>
    </row>
    <row r="125">
      <c r="A125" s="56">
        <v>18.0</v>
      </c>
      <c r="B125" s="56" t="str">
        <f t="shared" si="3"/>
        <v>ALN122</v>
      </c>
      <c r="C125" s="68" t="s">
        <v>118</v>
      </c>
      <c r="D125" s="46">
        <v>122.0</v>
      </c>
      <c r="E125" s="174">
        <v>12.0</v>
      </c>
      <c r="F125" s="176" t="s">
        <v>357</v>
      </c>
      <c r="G125" s="7" t="str">
        <f t="shared" si="2"/>
        <v>ALN122--12-AP</v>
      </c>
      <c r="H125" s="68" t="str">
        <f t="shared" si="4"/>
        <v>ألين - 122</v>
      </c>
      <c r="I125" s="177"/>
      <c r="J125" s="51" t="s">
        <v>301</v>
      </c>
      <c r="K125" s="173">
        <v>115.0</v>
      </c>
      <c r="L125" s="7">
        <v>1589000.0</v>
      </c>
      <c r="M125" s="178" t="s">
        <v>322</v>
      </c>
      <c r="N125" s="46">
        <v>3.0</v>
      </c>
      <c r="O125" s="46">
        <v>3.0</v>
      </c>
      <c r="P125" s="179" t="s">
        <v>358</v>
      </c>
      <c r="Q125" s="80"/>
      <c r="R125" s="80"/>
      <c r="S125" s="80"/>
      <c r="T125" s="80"/>
      <c r="U125" s="80"/>
      <c r="V125" s="180" t="s">
        <v>170</v>
      </c>
      <c r="W125" s="80"/>
      <c r="X125" s="80"/>
      <c r="Y125" s="60"/>
      <c r="Z125" s="60"/>
      <c r="AA125" s="68" t="s">
        <v>172</v>
      </c>
      <c r="AB125" s="130"/>
      <c r="AC125" s="72" t="s">
        <v>173</v>
      </c>
      <c r="AD125" s="130"/>
    </row>
    <row r="126">
      <c r="A126" s="56">
        <v>18.0</v>
      </c>
      <c r="B126" s="56" t="str">
        <f t="shared" si="3"/>
        <v>ALN122</v>
      </c>
      <c r="C126" s="68" t="s">
        <v>118</v>
      </c>
      <c r="D126" s="46">
        <v>122.0</v>
      </c>
      <c r="E126" s="174">
        <v>17.0</v>
      </c>
      <c r="F126" s="176" t="s">
        <v>357</v>
      </c>
      <c r="G126" s="7" t="str">
        <f t="shared" si="2"/>
        <v>ALN122--17-AP</v>
      </c>
      <c r="H126" s="68" t="str">
        <f t="shared" si="4"/>
        <v>ألين - 122</v>
      </c>
      <c r="I126" s="177"/>
      <c r="J126" s="51" t="s">
        <v>301</v>
      </c>
      <c r="K126" s="173">
        <v>103.0</v>
      </c>
      <c r="L126" s="7">
        <v>1389000.0</v>
      </c>
      <c r="M126" s="178" t="s">
        <v>322</v>
      </c>
      <c r="N126" s="46">
        <v>2.0</v>
      </c>
      <c r="O126" s="46">
        <v>2.0</v>
      </c>
      <c r="P126" s="179" t="s">
        <v>358</v>
      </c>
      <c r="Q126" s="80"/>
      <c r="R126" s="80"/>
      <c r="S126" s="80"/>
      <c r="T126" s="80"/>
      <c r="U126" s="80"/>
      <c r="V126" s="180" t="s">
        <v>170</v>
      </c>
      <c r="W126" s="80"/>
      <c r="X126" s="80"/>
      <c r="Y126" s="60"/>
      <c r="Z126" s="60"/>
      <c r="AA126" s="68" t="s">
        <v>172</v>
      </c>
      <c r="AB126" s="130"/>
      <c r="AC126" s="72" t="s">
        <v>173</v>
      </c>
      <c r="AD126" s="130"/>
    </row>
    <row r="127">
      <c r="A127" s="56">
        <v>18.0</v>
      </c>
      <c r="B127" s="56" t="str">
        <f t="shared" si="3"/>
        <v>ALN122</v>
      </c>
      <c r="C127" s="68" t="s">
        <v>118</v>
      </c>
      <c r="D127" s="46">
        <v>122.0</v>
      </c>
      <c r="E127" s="174">
        <v>18.0</v>
      </c>
      <c r="F127" s="176" t="s">
        <v>357</v>
      </c>
      <c r="G127" s="7" t="str">
        <f t="shared" si="2"/>
        <v>ALN122--18-AP</v>
      </c>
      <c r="H127" s="68" t="str">
        <f t="shared" si="4"/>
        <v>ألين - 122</v>
      </c>
      <c r="I127" s="177"/>
      <c r="J127" s="51" t="s">
        <v>301</v>
      </c>
      <c r="K127" s="173">
        <v>111.0</v>
      </c>
      <c r="L127" s="7">
        <v>1999000.0</v>
      </c>
      <c r="M127" s="178" t="s">
        <v>322</v>
      </c>
      <c r="N127" s="46">
        <v>3.0</v>
      </c>
      <c r="O127" s="46">
        <v>2.0</v>
      </c>
      <c r="P127" s="179" t="s">
        <v>358</v>
      </c>
      <c r="Q127" s="80"/>
      <c r="R127" s="80"/>
      <c r="S127" s="80"/>
      <c r="T127" s="80"/>
      <c r="U127" s="80"/>
      <c r="V127" s="180" t="s">
        <v>170</v>
      </c>
      <c r="W127" s="80"/>
      <c r="X127" s="80"/>
      <c r="Y127" s="60"/>
      <c r="Z127" s="60"/>
      <c r="AA127" s="68" t="s">
        <v>172</v>
      </c>
      <c r="AB127" s="130"/>
      <c r="AC127" s="72" t="s">
        <v>173</v>
      </c>
      <c r="AD127" s="130"/>
    </row>
    <row r="128">
      <c r="A128" s="56">
        <v>19.0</v>
      </c>
      <c r="B128" s="56" t="str">
        <f t="shared" si="3"/>
        <v>ALN126</v>
      </c>
      <c r="C128" s="68" t="s">
        <v>118</v>
      </c>
      <c r="D128" s="46">
        <v>126.0</v>
      </c>
      <c r="E128" s="174">
        <v>1.0</v>
      </c>
      <c r="F128" s="176" t="s">
        <v>357</v>
      </c>
      <c r="G128" s="7" t="str">
        <f t="shared" si="2"/>
        <v>ALN126--1-AP</v>
      </c>
      <c r="H128" s="68" t="str">
        <f t="shared" si="4"/>
        <v>ألين - 126</v>
      </c>
      <c r="I128" s="177"/>
      <c r="J128" s="51" t="s">
        <v>301</v>
      </c>
      <c r="K128" s="173">
        <v>95.0</v>
      </c>
      <c r="L128" s="7">
        <v>1399000.0</v>
      </c>
      <c r="M128" s="178" t="s">
        <v>322</v>
      </c>
      <c r="N128" s="46">
        <v>2.0</v>
      </c>
      <c r="O128" s="46">
        <v>2.0</v>
      </c>
      <c r="P128" s="179" t="s">
        <v>358</v>
      </c>
      <c r="Q128" s="80"/>
      <c r="R128" s="80"/>
      <c r="S128" s="80"/>
      <c r="T128" s="80"/>
      <c r="U128" s="80"/>
      <c r="V128" s="181">
        <v>46193.0</v>
      </c>
      <c r="W128" s="80"/>
      <c r="X128" s="180" t="s">
        <v>175</v>
      </c>
      <c r="Y128" s="60"/>
      <c r="Z128" s="60"/>
      <c r="AA128" s="68" t="s">
        <v>176</v>
      </c>
      <c r="AB128" s="130"/>
      <c r="AC128" s="72" t="s">
        <v>177</v>
      </c>
      <c r="AD128" s="130"/>
    </row>
    <row r="129">
      <c r="A129" s="56">
        <v>19.0</v>
      </c>
      <c r="B129" s="56" t="str">
        <f t="shared" si="3"/>
        <v>ALN126</v>
      </c>
      <c r="C129" s="68" t="s">
        <v>118</v>
      </c>
      <c r="D129" s="46">
        <v>126.0</v>
      </c>
      <c r="E129" s="174">
        <v>2.0</v>
      </c>
      <c r="F129" s="176" t="s">
        <v>357</v>
      </c>
      <c r="G129" s="7" t="str">
        <f t="shared" si="2"/>
        <v>ALN126--2-AP</v>
      </c>
      <c r="H129" s="68" t="str">
        <f t="shared" si="4"/>
        <v>ألين - 126</v>
      </c>
      <c r="I129" s="177"/>
      <c r="J129" s="51" t="s">
        <v>301</v>
      </c>
      <c r="K129" s="173">
        <v>111.0</v>
      </c>
      <c r="L129" s="7">
        <v>1699000.0</v>
      </c>
      <c r="M129" s="178" t="s">
        <v>322</v>
      </c>
      <c r="N129" s="46">
        <v>3.0</v>
      </c>
      <c r="O129" s="46">
        <v>3.0</v>
      </c>
      <c r="P129" s="80"/>
      <c r="Q129" s="80"/>
      <c r="R129" s="80"/>
      <c r="S129" s="80"/>
      <c r="T129" s="80"/>
      <c r="U129" s="80"/>
      <c r="V129" s="181">
        <v>46193.0</v>
      </c>
      <c r="W129" s="80"/>
      <c r="X129" s="80"/>
      <c r="Y129" s="60"/>
      <c r="Z129" s="60"/>
      <c r="AA129" s="68" t="s">
        <v>176</v>
      </c>
      <c r="AB129" s="130"/>
      <c r="AC129" s="72" t="s">
        <v>177</v>
      </c>
      <c r="AD129" s="130"/>
    </row>
    <row r="130">
      <c r="A130" s="56">
        <v>19.0</v>
      </c>
      <c r="B130" s="56" t="str">
        <f t="shared" si="3"/>
        <v>ALN126</v>
      </c>
      <c r="C130" s="68" t="s">
        <v>118</v>
      </c>
      <c r="D130" s="46">
        <v>126.0</v>
      </c>
      <c r="E130" s="174">
        <v>3.0</v>
      </c>
      <c r="F130" s="176" t="s">
        <v>357</v>
      </c>
      <c r="G130" s="7" t="str">
        <f t="shared" si="2"/>
        <v>ALN126--3-AP</v>
      </c>
      <c r="H130" s="68" t="str">
        <f t="shared" si="4"/>
        <v>ألين - 126</v>
      </c>
      <c r="I130" s="177"/>
      <c r="J130" s="51" t="s">
        <v>301</v>
      </c>
      <c r="K130" s="173">
        <v>105.0</v>
      </c>
      <c r="L130" s="7">
        <v>1399000.0</v>
      </c>
      <c r="M130" s="178" t="s">
        <v>322</v>
      </c>
      <c r="N130" s="46">
        <v>3.0</v>
      </c>
      <c r="O130" s="46">
        <v>3.0</v>
      </c>
      <c r="P130" s="80"/>
      <c r="Q130" s="80"/>
      <c r="R130" s="80"/>
      <c r="S130" s="80"/>
      <c r="T130" s="80"/>
      <c r="U130" s="80"/>
      <c r="V130" s="181">
        <v>46193.0</v>
      </c>
      <c r="W130" s="80"/>
      <c r="X130" s="80"/>
      <c r="Y130" s="60"/>
      <c r="Z130" s="60"/>
      <c r="AA130" s="68" t="s">
        <v>176</v>
      </c>
      <c r="AB130" s="130"/>
      <c r="AC130" s="72" t="s">
        <v>177</v>
      </c>
      <c r="AD130" s="130"/>
    </row>
    <row r="131">
      <c r="A131" s="56">
        <v>19.0</v>
      </c>
      <c r="B131" s="56" t="str">
        <f t="shared" si="3"/>
        <v>ALN126</v>
      </c>
      <c r="C131" s="68" t="s">
        <v>118</v>
      </c>
      <c r="D131" s="46">
        <v>126.0</v>
      </c>
      <c r="E131" s="174">
        <v>4.0</v>
      </c>
      <c r="F131" s="176" t="s">
        <v>357</v>
      </c>
      <c r="G131" s="7" t="str">
        <f t="shared" si="2"/>
        <v>ALN126--4-AP</v>
      </c>
      <c r="H131" s="68" t="str">
        <f t="shared" si="4"/>
        <v>ألين - 126</v>
      </c>
      <c r="I131" s="177"/>
      <c r="J131" s="51" t="s">
        <v>301</v>
      </c>
      <c r="K131" s="173">
        <v>139.0</v>
      </c>
      <c r="L131" s="7">
        <v>1799000.0</v>
      </c>
      <c r="M131" s="178" t="s">
        <v>322</v>
      </c>
      <c r="N131" s="46">
        <v>3.0</v>
      </c>
      <c r="O131" s="46">
        <v>4.0</v>
      </c>
      <c r="P131" s="80"/>
      <c r="Q131" s="80"/>
      <c r="R131" s="80"/>
      <c r="S131" s="80"/>
      <c r="T131" s="80"/>
      <c r="U131" s="80"/>
      <c r="V131" s="181">
        <v>46193.0</v>
      </c>
      <c r="W131" s="80"/>
      <c r="X131" s="80"/>
      <c r="Y131" s="60"/>
      <c r="Z131" s="60"/>
      <c r="AA131" s="68" t="s">
        <v>176</v>
      </c>
      <c r="AB131" s="130"/>
      <c r="AC131" s="72" t="s">
        <v>177</v>
      </c>
      <c r="AD131" s="130"/>
    </row>
    <row r="132">
      <c r="A132" s="56">
        <v>19.0</v>
      </c>
      <c r="B132" s="56" t="str">
        <f t="shared" si="3"/>
        <v>ALN126</v>
      </c>
      <c r="C132" s="68" t="s">
        <v>118</v>
      </c>
      <c r="D132" s="46">
        <v>126.0</v>
      </c>
      <c r="E132" s="174">
        <v>5.0</v>
      </c>
      <c r="F132" s="176" t="s">
        <v>357</v>
      </c>
      <c r="G132" s="7" t="str">
        <f t="shared" si="2"/>
        <v>ALN126--5-AP</v>
      </c>
      <c r="H132" s="68" t="str">
        <f t="shared" si="4"/>
        <v>ألين - 126</v>
      </c>
      <c r="I132" s="177"/>
      <c r="J132" s="51" t="s">
        <v>301</v>
      </c>
      <c r="K132" s="173">
        <v>130.0</v>
      </c>
      <c r="L132" s="7">
        <v>1699000.0</v>
      </c>
      <c r="M132" s="178" t="s">
        <v>322</v>
      </c>
      <c r="N132" s="46">
        <v>3.0</v>
      </c>
      <c r="O132" s="46">
        <v>4.0</v>
      </c>
      <c r="P132" s="80"/>
      <c r="Q132" s="80"/>
      <c r="R132" s="80"/>
      <c r="S132" s="80"/>
      <c r="T132" s="80"/>
      <c r="U132" s="80"/>
      <c r="V132" s="181">
        <v>46193.0</v>
      </c>
      <c r="W132" s="80"/>
      <c r="X132" s="80"/>
      <c r="Y132" s="60"/>
      <c r="Z132" s="60"/>
      <c r="AA132" s="68" t="s">
        <v>176</v>
      </c>
      <c r="AB132" s="130"/>
      <c r="AC132" s="72" t="s">
        <v>177</v>
      </c>
      <c r="AD132" s="130"/>
    </row>
    <row r="133">
      <c r="A133" s="56">
        <v>19.0</v>
      </c>
      <c r="B133" s="56" t="str">
        <f t="shared" si="3"/>
        <v>ALN126</v>
      </c>
      <c r="C133" s="68" t="s">
        <v>118</v>
      </c>
      <c r="D133" s="46">
        <v>126.0</v>
      </c>
      <c r="E133" s="174">
        <v>6.0</v>
      </c>
      <c r="F133" s="176" t="s">
        <v>357</v>
      </c>
      <c r="G133" s="7" t="str">
        <f t="shared" si="2"/>
        <v>ALN126--6-AP</v>
      </c>
      <c r="H133" s="68" t="str">
        <f t="shared" si="4"/>
        <v>ألين - 126</v>
      </c>
      <c r="I133" s="177"/>
      <c r="J133" s="51" t="s">
        <v>301</v>
      </c>
      <c r="K133" s="173">
        <v>119.0</v>
      </c>
      <c r="L133" s="7">
        <v>1599000.0</v>
      </c>
      <c r="M133" s="178" t="s">
        <v>322</v>
      </c>
      <c r="N133" s="46">
        <v>3.0</v>
      </c>
      <c r="O133" s="46">
        <v>3.0</v>
      </c>
      <c r="P133" s="80"/>
      <c r="Q133" s="80"/>
      <c r="R133" s="80"/>
      <c r="S133" s="80"/>
      <c r="T133" s="80"/>
      <c r="U133" s="80"/>
      <c r="V133" s="181">
        <v>46193.0</v>
      </c>
      <c r="W133" s="80"/>
      <c r="X133" s="80"/>
      <c r="Y133" s="60"/>
      <c r="Z133" s="60"/>
      <c r="AA133" s="68" t="s">
        <v>176</v>
      </c>
      <c r="AB133" s="130"/>
      <c r="AC133" s="72" t="s">
        <v>177</v>
      </c>
      <c r="AD133" s="130"/>
    </row>
    <row r="134">
      <c r="A134" s="56">
        <v>19.0</v>
      </c>
      <c r="B134" s="56" t="str">
        <f t="shared" si="3"/>
        <v>ALN126</v>
      </c>
      <c r="C134" s="68" t="s">
        <v>118</v>
      </c>
      <c r="D134" s="46">
        <v>126.0</v>
      </c>
      <c r="E134" s="174">
        <v>7.0</v>
      </c>
      <c r="F134" s="176" t="s">
        <v>357</v>
      </c>
      <c r="G134" s="7" t="str">
        <f t="shared" si="2"/>
        <v>ALN126--7-AP</v>
      </c>
      <c r="H134" s="68" t="str">
        <f t="shared" si="4"/>
        <v>ألين - 126</v>
      </c>
      <c r="I134" s="177"/>
      <c r="J134" s="51" t="s">
        <v>301</v>
      </c>
      <c r="K134" s="173">
        <v>140.0</v>
      </c>
      <c r="L134" s="7">
        <v>1799000.0</v>
      </c>
      <c r="M134" s="178" t="s">
        <v>322</v>
      </c>
      <c r="N134" s="46">
        <v>3.0</v>
      </c>
      <c r="O134" s="46">
        <v>4.0</v>
      </c>
      <c r="P134" s="80"/>
      <c r="Q134" s="80"/>
      <c r="R134" s="80"/>
      <c r="S134" s="80"/>
      <c r="T134" s="80"/>
      <c r="U134" s="80"/>
      <c r="V134" s="181">
        <v>46193.0</v>
      </c>
      <c r="W134" s="80"/>
      <c r="X134" s="80"/>
      <c r="Y134" s="60"/>
      <c r="Z134" s="60"/>
      <c r="AA134" s="68" t="s">
        <v>176</v>
      </c>
      <c r="AB134" s="130"/>
      <c r="AC134" s="72" t="s">
        <v>177</v>
      </c>
      <c r="AD134" s="130"/>
    </row>
    <row r="135">
      <c r="A135" s="56">
        <v>19.0</v>
      </c>
      <c r="B135" s="56" t="str">
        <f t="shared" si="3"/>
        <v>ALN126</v>
      </c>
      <c r="C135" s="68" t="s">
        <v>118</v>
      </c>
      <c r="D135" s="46">
        <v>126.0</v>
      </c>
      <c r="E135" s="174">
        <v>8.0</v>
      </c>
      <c r="F135" s="176" t="s">
        <v>357</v>
      </c>
      <c r="G135" s="7" t="str">
        <f t="shared" si="2"/>
        <v>ALN126--8-AP</v>
      </c>
      <c r="H135" s="68" t="str">
        <f t="shared" si="4"/>
        <v>ألين - 126</v>
      </c>
      <c r="I135" s="177"/>
      <c r="J135" s="51" t="s">
        <v>301</v>
      </c>
      <c r="K135" s="173">
        <v>130.0</v>
      </c>
      <c r="L135" s="7">
        <v>1699000.0</v>
      </c>
      <c r="M135" s="178" t="s">
        <v>322</v>
      </c>
      <c r="N135" s="46">
        <v>3.0</v>
      </c>
      <c r="O135" s="46">
        <v>4.0</v>
      </c>
      <c r="P135" s="80"/>
      <c r="Q135" s="80"/>
      <c r="R135" s="80"/>
      <c r="S135" s="80"/>
      <c r="T135" s="80"/>
      <c r="U135" s="80"/>
      <c r="V135" s="181">
        <v>46193.0</v>
      </c>
      <c r="W135" s="80"/>
      <c r="X135" s="80"/>
      <c r="Y135" s="60"/>
      <c r="Z135" s="60"/>
      <c r="AA135" s="68" t="s">
        <v>176</v>
      </c>
      <c r="AB135" s="130"/>
      <c r="AC135" s="72" t="s">
        <v>177</v>
      </c>
      <c r="AD135" s="130"/>
    </row>
    <row r="136">
      <c r="A136" s="56">
        <v>19.0</v>
      </c>
      <c r="B136" s="56" t="str">
        <f t="shared" si="3"/>
        <v>ALN126</v>
      </c>
      <c r="C136" s="68" t="s">
        <v>118</v>
      </c>
      <c r="D136" s="46">
        <v>126.0</v>
      </c>
      <c r="E136" s="174">
        <v>9.0</v>
      </c>
      <c r="F136" s="176" t="s">
        <v>357</v>
      </c>
      <c r="G136" s="7" t="str">
        <f t="shared" si="2"/>
        <v>ALN126--9-AP</v>
      </c>
      <c r="H136" s="68" t="str">
        <f t="shared" si="4"/>
        <v>ألين - 126</v>
      </c>
      <c r="I136" s="177"/>
      <c r="J136" s="51" t="s">
        <v>301</v>
      </c>
      <c r="K136" s="173">
        <v>117.0</v>
      </c>
      <c r="L136" s="7">
        <v>1599000.0</v>
      </c>
      <c r="M136" s="178" t="s">
        <v>322</v>
      </c>
      <c r="N136" s="46">
        <v>3.0</v>
      </c>
      <c r="O136" s="46">
        <v>3.0</v>
      </c>
      <c r="P136" s="80"/>
      <c r="Q136" s="80"/>
      <c r="R136" s="80"/>
      <c r="S136" s="80"/>
      <c r="T136" s="80"/>
      <c r="U136" s="80"/>
      <c r="V136" s="181">
        <v>46193.0</v>
      </c>
      <c r="W136" s="80"/>
      <c r="X136" s="80"/>
      <c r="Y136" s="60"/>
      <c r="Z136" s="60"/>
      <c r="AA136" s="68" t="s">
        <v>176</v>
      </c>
      <c r="AB136" s="130"/>
      <c r="AC136" s="72" t="s">
        <v>177</v>
      </c>
      <c r="AD136" s="130"/>
    </row>
    <row r="137">
      <c r="A137" s="56">
        <v>19.0</v>
      </c>
      <c r="B137" s="56" t="str">
        <f t="shared" si="3"/>
        <v>ALN126</v>
      </c>
      <c r="C137" s="68" t="s">
        <v>118</v>
      </c>
      <c r="D137" s="46">
        <v>126.0</v>
      </c>
      <c r="E137" s="174">
        <v>11.0</v>
      </c>
      <c r="F137" s="176" t="s">
        <v>357</v>
      </c>
      <c r="G137" s="7" t="str">
        <f t="shared" si="2"/>
        <v>ALN126--11-AP</v>
      </c>
      <c r="H137" s="68" t="str">
        <f t="shared" si="4"/>
        <v>ألين - 126</v>
      </c>
      <c r="I137" s="177"/>
      <c r="J137" s="51" t="s">
        <v>301</v>
      </c>
      <c r="K137" s="173">
        <v>87.0</v>
      </c>
      <c r="L137" s="7">
        <v>1399000.0</v>
      </c>
      <c r="M137" s="178" t="s">
        <v>322</v>
      </c>
      <c r="N137" s="46">
        <v>3.0</v>
      </c>
      <c r="O137" s="46">
        <v>3.0</v>
      </c>
      <c r="P137" s="80"/>
      <c r="Q137" s="80"/>
      <c r="R137" s="80"/>
      <c r="S137" s="80"/>
      <c r="T137" s="80"/>
      <c r="U137" s="80"/>
      <c r="V137" s="181">
        <v>46193.0</v>
      </c>
      <c r="W137" s="80"/>
      <c r="X137" s="80"/>
      <c r="Y137" s="60"/>
      <c r="Z137" s="60"/>
      <c r="AA137" s="68" t="s">
        <v>176</v>
      </c>
      <c r="AB137" s="130"/>
      <c r="AC137" s="72" t="s">
        <v>177</v>
      </c>
      <c r="AD137" s="130"/>
    </row>
    <row r="138">
      <c r="A138" s="56">
        <v>20.0</v>
      </c>
      <c r="B138" s="56" t="str">
        <f t="shared" si="3"/>
        <v>ALN130</v>
      </c>
      <c r="C138" s="68" t="s">
        <v>118</v>
      </c>
      <c r="D138" s="46">
        <v>130.0</v>
      </c>
      <c r="E138" s="174">
        <v>1.0</v>
      </c>
      <c r="F138" s="176" t="s">
        <v>357</v>
      </c>
      <c r="G138" s="7" t="str">
        <f t="shared" si="2"/>
        <v>ALN130--1-AP</v>
      </c>
      <c r="H138" s="68" t="str">
        <f t="shared" si="4"/>
        <v>ألين - 130</v>
      </c>
      <c r="I138" s="177"/>
      <c r="J138" s="51" t="s">
        <v>301</v>
      </c>
      <c r="K138" s="173">
        <v>112.0</v>
      </c>
      <c r="L138" s="7">
        <v>1779000.0</v>
      </c>
      <c r="M138" s="178" t="s">
        <v>322</v>
      </c>
      <c r="N138" s="46">
        <v>2.0</v>
      </c>
      <c r="O138" s="46">
        <v>3.0</v>
      </c>
      <c r="P138" s="80"/>
      <c r="Q138" s="80"/>
      <c r="R138" s="80"/>
      <c r="S138" s="80"/>
      <c r="T138" s="80"/>
      <c r="U138" s="80"/>
      <c r="V138" s="181">
        <v>46232.0</v>
      </c>
      <c r="W138" s="80"/>
      <c r="X138" s="180" t="s">
        <v>179</v>
      </c>
      <c r="Y138" s="60"/>
      <c r="Z138" s="60"/>
      <c r="AA138" s="68" t="s">
        <v>180</v>
      </c>
      <c r="AB138" s="130"/>
      <c r="AC138" s="72" t="s">
        <v>181</v>
      </c>
      <c r="AD138" s="130"/>
    </row>
    <row r="139">
      <c r="A139" s="56">
        <v>20.0</v>
      </c>
      <c r="B139" s="56" t="str">
        <f t="shared" si="3"/>
        <v>ALN130</v>
      </c>
      <c r="C139" s="68" t="s">
        <v>118</v>
      </c>
      <c r="D139" s="46">
        <v>130.0</v>
      </c>
      <c r="E139" s="174">
        <v>3.0</v>
      </c>
      <c r="F139" s="176" t="s">
        <v>357</v>
      </c>
      <c r="G139" s="7" t="str">
        <f t="shared" si="2"/>
        <v>ALN130--3-AP</v>
      </c>
      <c r="H139" s="68" t="str">
        <f t="shared" si="4"/>
        <v>ألين - 130</v>
      </c>
      <c r="I139" s="177"/>
      <c r="J139" s="51" t="s">
        <v>301</v>
      </c>
      <c r="K139" s="173">
        <v>108.0</v>
      </c>
      <c r="L139" s="7">
        <v>1969000.0</v>
      </c>
      <c r="M139" s="178" t="s">
        <v>322</v>
      </c>
      <c r="N139" s="46">
        <v>3.0</v>
      </c>
      <c r="O139" s="46">
        <v>4.0</v>
      </c>
      <c r="P139" s="80"/>
      <c r="Q139" s="80"/>
      <c r="R139" s="80"/>
      <c r="S139" s="80"/>
      <c r="T139" s="80"/>
      <c r="U139" s="80"/>
      <c r="V139" s="181">
        <v>46232.0</v>
      </c>
      <c r="W139" s="80"/>
      <c r="X139" s="80"/>
      <c r="Y139" s="60"/>
      <c r="Z139" s="60"/>
      <c r="AA139" s="68" t="s">
        <v>180</v>
      </c>
      <c r="AB139" s="130"/>
      <c r="AC139" s="72" t="s">
        <v>181</v>
      </c>
      <c r="AD139" s="130"/>
    </row>
    <row r="140">
      <c r="A140" s="56">
        <v>20.0</v>
      </c>
      <c r="B140" s="56" t="str">
        <f t="shared" si="3"/>
        <v>ALN130</v>
      </c>
      <c r="C140" s="68" t="s">
        <v>118</v>
      </c>
      <c r="D140" s="46">
        <v>130.0</v>
      </c>
      <c r="E140" s="174">
        <v>4.0</v>
      </c>
      <c r="F140" s="176" t="s">
        <v>357</v>
      </c>
      <c r="G140" s="7" t="str">
        <f t="shared" si="2"/>
        <v>ALN130--4-AP</v>
      </c>
      <c r="H140" s="68" t="str">
        <f t="shared" si="4"/>
        <v>ألين - 130</v>
      </c>
      <c r="I140" s="177"/>
      <c r="J140" s="51" t="s">
        <v>301</v>
      </c>
      <c r="K140" s="173">
        <v>117.0</v>
      </c>
      <c r="L140" s="7">
        <v>1899000.0</v>
      </c>
      <c r="M140" s="178" t="s">
        <v>322</v>
      </c>
      <c r="N140" s="46">
        <v>2.0</v>
      </c>
      <c r="O140" s="46">
        <v>4.0</v>
      </c>
      <c r="P140" s="80"/>
      <c r="Q140" s="80"/>
      <c r="R140" s="80"/>
      <c r="S140" s="80"/>
      <c r="T140" s="80"/>
      <c r="U140" s="80"/>
      <c r="V140" s="181">
        <v>46232.0</v>
      </c>
      <c r="W140" s="80"/>
      <c r="X140" s="80"/>
      <c r="Y140" s="60"/>
      <c r="Z140" s="60"/>
      <c r="AA140" s="68" t="s">
        <v>180</v>
      </c>
      <c r="AB140" s="130"/>
      <c r="AC140" s="72" t="s">
        <v>181</v>
      </c>
      <c r="AD140" s="130"/>
    </row>
    <row r="141">
      <c r="A141" s="56">
        <v>20.0</v>
      </c>
      <c r="B141" s="56" t="str">
        <f t="shared" si="3"/>
        <v>ALN130</v>
      </c>
      <c r="C141" s="68" t="s">
        <v>118</v>
      </c>
      <c r="D141" s="46">
        <v>130.0</v>
      </c>
      <c r="E141" s="174">
        <v>5.0</v>
      </c>
      <c r="F141" s="176" t="s">
        <v>357</v>
      </c>
      <c r="G141" s="7" t="str">
        <f t="shared" si="2"/>
        <v>ALN130--5-AP</v>
      </c>
      <c r="H141" s="68" t="str">
        <f t="shared" si="4"/>
        <v>ألين - 130</v>
      </c>
      <c r="I141" s="177"/>
      <c r="J141" s="51" t="s">
        <v>301</v>
      </c>
      <c r="K141" s="173">
        <v>117.0</v>
      </c>
      <c r="L141" s="7">
        <v>1899000.0</v>
      </c>
      <c r="M141" s="178" t="s">
        <v>322</v>
      </c>
      <c r="N141" s="46">
        <v>2.0</v>
      </c>
      <c r="O141" s="46">
        <v>4.0</v>
      </c>
      <c r="P141" s="80"/>
      <c r="Q141" s="80"/>
      <c r="R141" s="80"/>
      <c r="S141" s="80"/>
      <c r="T141" s="80"/>
      <c r="U141" s="80"/>
      <c r="V141" s="181">
        <v>46232.0</v>
      </c>
      <c r="W141" s="80"/>
      <c r="X141" s="80"/>
      <c r="Y141" s="60"/>
      <c r="Z141" s="60"/>
      <c r="AA141" s="68" t="s">
        <v>180</v>
      </c>
      <c r="AB141" s="130"/>
      <c r="AC141" s="72" t="s">
        <v>181</v>
      </c>
      <c r="AD141" s="130"/>
    </row>
    <row r="142">
      <c r="A142" s="56">
        <v>20.0</v>
      </c>
      <c r="B142" s="56" t="str">
        <f t="shared" si="3"/>
        <v>ALN130</v>
      </c>
      <c r="C142" s="68" t="s">
        <v>118</v>
      </c>
      <c r="D142" s="46">
        <v>130.0</v>
      </c>
      <c r="E142" s="174">
        <v>6.0</v>
      </c>
      <c r="F142" s="176" t="s">
        <v>357</v>
      </c>
      <c r="G142" s="7" t="str">
        <f t="shared" si="2"/>
        <v>ALN130--6-AP</v>
      </c>
      <c r="H142" s="68" t="str">
        <f t="shared" si="4"/>
        <v>ألين - 130</v>
      </c>
      <c r="I142" s="177"/>
      <c r="J142" s="51" t="s">
        <v>301</v>
      </c>
      <c r="K142" s="173">
        <v>118.0</v>
      </c>
      <c r="L142" s="7">
        <v>1899000.0</v>
      </c>
      <c r="M142" s="178" t="s">
        <v>322</v>
      </c>
      <c r="N142" s="46">
        <v>2.0</v>
      </c>
      <c r="O142" s="46">
        <v>4.0</v>
      </c>
      <c r="P142" s="80"/>
      <c r="Q142" s="80"/>
      <c r="R142" s="80"/>
      <c r="S142" s="80"/>
      <c r="T142" s="80"/>
      <c r="U142" s="80"/>
      <c r="V142" s="181">
        <v>46232.0</v>
      </c>
      <c r="W142" s="80"/>
      <c r="X142" s="80"/>
      <c r="Y142" s="60"/>
      <c r="Z142" s="60"/>
      <c r="AA142" s="68" t="s">
        <v>180</v>
      </c>
      <c r="AB142" s="130"/>
      <c r="AC142" s="72" t="s">
        <v>181</v>
      </c>
      <c r="AD142" s="130"/>
    </row>
    <row r="143">
      <c r="A143" s="56">
        <v>20.0</v>
      </c>
      <c r="B143" s="56" t="str">
        <f t="shared" si="3"/>
        <v>ALN130</v>
      </c>
      <c r="C143" s="68" t="s">
        <v>118</v>
      </c>
      <c r="D143" s="46">
        <v>130.0</v>
      </c>
      <c r="E143" s="174">
        <v>7.0</v>
      </c>
      <c r="F143" s="176" t="s">
        <v>357</v>
      </c>
      <c r="G143" s="7" t="str">
        <f t="shared" si="2"/>
        <v>ALN130--7-AP</v>
      </c>
      <c r="H143" s="68" t="str">
        <f t="shared" si="4"/>
        <v>ألين - 130</v>
      </c>
      <c r="I143" s="177"/>
      <c r="J143" s="51" t="s">
        <v>301</v>
      </c>
      <c r="K143" s="173">
        <v>108.0</v>
      </c>
      <c r="L143" s="7">
        <v>1969000.0</v>
      </c>
      <c r="M143" s="178" t="s">
        <v>322</v>
      </c>
      <c r="N143" s="46">
        <v>3.0</v>
      </c>
      <c r="O143" s="46">
        <v>4.0</v>
      </c>
      <c r="P143" s="80"/>
      <c r="Q143" s="80"/>
      <c r="R143" s="80"/>
      <c r="S143" s="80"/>
      <c r="T143" s="80"/>
      <c r="U143" s="80"/>
      <c r="V143" s="181">
        <v>46232.0</v>
      </c>
      <c r="W143" s="80"/>
      <c r="X143" s="80"/>
      <c r="Y143" s="60"/>
      <c r="Z143" s="60"/>
      <c r="AA143" s="68" t="s">
        <v>180</v>
      </c>
      <c r="AB143" s="130"/>
      <c r="AC143" s="72" t="s">
        <v>181</v>
      </c>
      <c r="AD143" s="130"/>
    </row>
    <row r="144">
      <c r="A144" s="56">
        <v>20.0</v>
      </c>
      <c r="B144" s="56" t="str">
        <f t="shared" si="3"/>
        <v>ALN130</v>
      </c>
      <c r="C144" s="68" t="s">
        <v>118</v>
      </c>
      <c r="D144" s="46">
        <v>130.0</v>
      </c>
      <c r="E144" s="174">
        <v>8.0</v>
      </c>
      <c r="F144" s="176" t="s">
        <v>357</v>
      </c>
      <c r="G144" s="7" t="str">
        <f t="shared" si="2"/>
        <v>ALN130--8-AP</v>
      </c>
      <c r="H144" s="68" t="str">
        <f t="shared" si="4"/>
        <v>ألين - 130</v>
      </c>
      <c r="I144" s="177"/>
      <c r="J144" s="51" t="s">
        <v>301</v>
      </c>
      <c r="K144" s="173">
        <v>123.0</v>
      </c>
      <c r="L144" s="7">
        <v>2119000.0</v>
      </c>
      <c r="M144" s="178" t="s">
        <v>322</v>
      </c>
      <c r="N144" s="46">
        <v>3.0</v>
      </c>
      <c r="O144" s="46">
        <v>3.0</v>
      </c>
      <c r="P144" s="80"/>
      <c r="Q144" s="80"/>
      <c r="R144" s="80"/>
      <c r="S144" s="80"/>
      <c r="T144" s="80"/>
      <c r="U144" s="80"/>
      <c r="V144" s="181">
        <v>46232.0</v>
      </c>
      <c r="W144" s="80"/>
      <c r="X144" s="80"/>
      <c r="Y144" s="60"/>
      <c r="Z144" s="60"/>
      <c r="AA144" s="68" t="s">
        <v>180</v>
      </c>
      <c r="AB144" s="130"/>
      <c r="AC144" s="72" t="s">
        <v>181</v>
      </c>
      <c r="AD144" s="130"/>
    </row>
    <row r="145">
      <c r="A145" s="56">
        <v>20.0</v>
      </c>
      <c r="B145" s="56" t="str">
        <f t="shared" si="3"/>
        <v>ALN130</v>
      </c>
      <c r="C145" s="68" t="s">
        <v>118</v>
      </c>
      <c r="D145" s="46">
        <v>130.0</v>
      </c>
      <c r="E145" s="174">
        <v>9.0</v>
      </c>
      <c r="F145" s="176" t="s">
        <v>357</v>
      </c>
      <c r="G145" s="7" t="str">
        <f t="shared" si="2"/>
        <v>ALN130--9-AP</v>
      </c>
      <c r="H145" s="68" t="str">
        <f t="shared" si="4"/>
        <v>ألين - 130</v>
      </c>
      <c r="I145" s="177"/>
      <c r="J145" s="51" t="s">
        <v>301</v>
      </c>
      <c r="K145" s="173">
        <v>112.0</v>
      </c>
      <c r="L145" s="7">
        <v>1779000.0</v>
      </c>
      <c r="M145" s="178" t="s">
        <v>322</v>
      </c>
      <c r="N145" s="46">
        <v>2.0</v>
      </c>
      <c r="O145" s="46">
        <v>4.0</v>
      </c>
      <c r="P145" s="80"/>
      <c r="Q145" s="80"/>
      <c r="R145" s="80"/>
      <c r="S145" s="80"/>
      <c r="T145" s="80"/>
      <c r="U145" s="80"/>
      <c r="V145" s="181">
        <v>46232.0</v>
      </c>
      <c r="W145" s="80"/>
      <c r="X145" s="80"/>
      <c r="Y145" s="60"/>
      <c r="Z145" s="60"/>
      <c r="AA145" s="68" t="s">
        <v>180</v>
      </c>
      <c r="AB145" s="130"/>
      <c r="AC145" s="72" t="s">
        <v>181</v>
      </c>
      <c r="AD145" s="130"/>
    </row>
    <row r="146">
      <c r="A146" s="56">
        <v>20.0</v>
      </c>
      <c r="B146" s="56" t="str">
        <f t="shared" si="3"/>
        <v>ALN130</v>
      </c>
      <c r="C146" s="68" t="s">
        <v>118</v>
      </c>
      <c r="D146" s="46">
        <v>130.0</v>
      </c>
      <c r="E146" s="174">
        <v>10.0</v>
      </c>
      <c r="F146" s="176" t="s">
        <v>357</v>
      </c>
      <c r="G146" s="7" t="str">
        <f t="shared" si="2"/>
        <v>ALN130--10-AP</v>
      </c>
      <c r="H146" s="68" t="str">
        <f t="shared" si="4"/>
        <v>ألين - 130</v>
      </c>
      <c r="I146" s="177"/>
      <c r="J146" s="51" t="s">
        <v>301</v>
      </c>
      <c r="K146" s="173">
        <v>124.0</v>
      </c>
      <c r="L146" s="7">
        <v>1939000.0</v>
      </c>
      <c r="M146" s="178" t="s">
        <v>322</v>
      </c>
      <c r="N146" s="46">
        <v>2.0</v>
      </c>
      <c r="O146" s="46">
        <v>4.0</v>
      </c>
      <c r="P146" s="80"/>
      <c r="Q146" s="80"/>
      <c r="R146" s="80"/>
      <c r="S146" s="80"/>
      <c r="T146" s="80"/>
      <c r="U146" s="80"/>
      <c r="V146" s="181">
        <v>46232.0</v>
      </c>
      <c r="W146" s="80"/>
      <c r="X146" s="80"/>
      <c r="Y146" s="60"/>
      <c r="Z146" s="60"/>
      <c r="AA146" s="68" t="s">
        <v>180</v>
      </c>
      <c r="AB146" s="130"/>
      <c r="AC146" s="72" t="s">
        <v>181</v>
      </c>
      <c r="AD146" s="130"/>
    </row>
    <row r="147">
      <c r="A147" s="56">
        <v>20.0</v>
      </c>
      <c r="B147" s="56" t="str">
        <f t="shared" si="3"/>
        <v>ALN130</v>
      </c>
      <c r="C147" s="68" t="s">
        <v>118</v>
      </c>
      <c r="D147" s="46">
        <v>130.0</v>
      </c>
      <c r="E147" s="174">
        <v>11.0</v>
      </c>
      <c r="F147" s="176" t="s">
        <v>357</v>
      </c>
      <c r="G147" s="7" t="str">
        <f t="shared" si="2"/>
        <v>ALN130--11-AP</v>
      </c>
      <c r="H147" s="68" t="str">
        <f t="shared" si="4"/>
        <v>ألين - 130</v>
      </c>
      <c r="I147" s="177"/>
      <c r="J147" s="51" t="s">
        <v>301</v>
      </c>
      <c r="K147" s="173">
        <v>124.0</v>
      </c>
      <c r="L147" s="7">
        <v>1939000.0</v>
      </c>
      <c r="M147" s="178" t="s">
        <v>322</v>
      </c>
      <c r="N147" s="46">
        <v>2.0</v>
      </c>
      <c r="O147" s="46">
        <v>4.0</v>
      </c>
      <c r="P147" s="80"/>
      <c r="Q147" s="80"/>
      <c r="R147" s="80"/>
      <c r="S147" s="80"/>
      <c r="T147" s="80"/>
      <c r="U147" s="80"/>
      <c r="V147" s="181">
        <v>46232.0</v>
      </c>
      <c r="W147" s="80"/>
      <c r="X147" s="80"/>
      <c r="Y147" s="60"/>
      <c r="Z147" s="60"/>
      <c r="AA147" s="68" t="s">
        <v>180</v>
      </c>
      <c r="AB147" s="130"/>
      <c r="AC147" s="72" t="s">
        <v>181</v>
      </c>
      <c r="AD147" s="130"/>
    </row>
    <row r="148">
      <c r="A148" s="56">
        <v>20.0</v>
      </c>
      <c r="B148" s="56" t="str">
        <f t="shared" si="3"/>
        <v>ALN130</v>
      </c>
      <c r="C148" s="68" t="s">
        <v>118</v>
      </c>
      <c r="D148" s="46">
        <v>130.0</v>
      </c>
      <c r="E148" s="174">
        <v>12.0</v>
      </c>
      <c r="F148" s="176" t="s">
        <v>357</v>
      </c>
      <c r="G148" s="7" t="str">
        <f t="shared" si="2"/>
        <v>ALN130--12-AP</v>
      </c>
      <c r="H148" s="68" t="str">
        <f t="shared" si="4"/>
        <v>ألين - 130</v>
      </c>
      <c r="I148" s="177"/>
      <c r="J148" s="51" t="s">
        <v>301</v>
      </c>
      <c r="K148" s="173">
        <v>147.0</v>
      </c>
      <c r="L148" s="7">
        <v>2249000.0</v>
      </c>
      <c r="M148" s="178" t="s">
        <v>322</v>
      </c>
      <c r="N148" s="46">
        <v>3.0</v>
      </c>
      <c r="O148" s="46">
        <v>4.0</v>
      </c>
      <c r="P148" s="80"/>
      <c r="Q148" s="80"/>
      <c r="R148" s="80"/>
      <c r="S148" s="80"/>
      <c r="T148" s="80"/>
      <c r="U148" s="80"/>
      <c r="V148" s="181">
        <v>46232.0</v>
      </c>
      <c r="W148" s="80"/>
      <c r="X148" s="80"/>
      <c r="Y148" s="60"/>
      <c r="Z148" s="60"/>
      <c r="AA148" s="68" t="s">
        <v>180</v>
      </c>
      <c r="AB148" s="130"/>
      <c r="AC148" s="72" t="s">
        <v>181</v>
      </c>
      <c r="AD148" s="130"/>
    </row>
    <row r="149">
      <c r="A149" s="56">
        <v>20.0</v>
      </c>
      <c r="B149" s="56" t="str">
        <f t="shared" si="3"/>
        <v>ALN130</v>
      </c>
      <c r="C149" s="68" t="s">
        <v>118</v>
      </c>
      <c r="D149" s="46">
        <v>130.0</v>
      </c>
      <c r="E149" s="174">
        <v>13.0</v>
      </c>
      <c r="F149" s="176" t="s">
        <v>357</v>
      </c>
      <c r="G149" s="7" t="str">
        <f t="shared" si="2"/>
        <v>ALN130--13-AP</v>
      </c>
      <c r="H149" s="68" t="str">
        <f t="shared" si="4"/>
        <v>ألين - 130</v>
      </c>
      <c r="I149" s="177"/>
      <c r="J149" s="51" t="s">
        <v>301</v>
      </c>
      <c r="K149" s="173">
        <v>170.0</v>
      </c>
      <c r="L149" s="7">
        <v>2679000.0</v>
      </c>
      <c r="M149" s="178" t="s">
        <v>322</v>
      </c>
      <c r="N149" s="46">
        <v>3.0</v>
      </c>
      <c r="O149" s="46">
        <v>4.0</v>
      </c>
      <c r="P149" s="80"/>
      <c r="Q149" s="80"/>
      <c r="R149" s="80"/>
      <c r="S149" s="80"/>
      <c r="T149" s="80"/>
      <c r="U149" s="80"/>
      <c r="V149" s="181">
        <v>46232.0</v>
      </c>
      <c r="W149" s="80"/>
      <c r="X149" s="80"/>
      <c r="Y149" s="60"/>
      <c r="Z149" s="60"/>
      <c r="AA149" s="68" t="s">
        <v>180</v>
      </c>
      <c r="AB149" s="130"/>
      <c r="AC149" s="72" t="s">
        <v>181</v>
      </c>
      <c r="AD149" s="130"/>
    </row>
    <row r="150">
      <c r="A150" s="56">
        <v>20.0</v>
      </c>
      <c r="B150" s="56" t="str">
        <f t="shared" si="3"/>
        <v>ALN130</v>
      </c>
      <c r="C150" s="68" t="s">
        <v>118</v>
      </c>
      <c r="D150" s="46">
        <v>130.0</v>
      </c>
      <c r="E150" s="174">
        <v>14.0</v>
      </c>
      <c r="F150" s="176" t="s">
        <v>357</v>
      </c>
      <c r="G150" s="7" t="str">
        <f t="shared" si="2"/>
        <v>ALN130--14-AP</v>
      </c>
      <c r="H150" s="68" t="str">
        <f t="shared" si="4"/>
        <v>ألين - 130</v>
      </c>
      <c r="I150" s="177"/>
      <c r="J150" s="51" t="s">
        <v>301</v>
      </c>
      <c r="K150" s="173">
        <v>134.0</v>
      </c>
      <c r="L150" s="7">
        <v>2139000.0</v>
      </c>
      <c r="M150" s="178" t="s">
        <v>322</v>
      </c>
      <c r="N150" s="46">
        <v>3.0</v>
      </c>
      <c r="O150" s="46">
        <v>4.0</v>
      </c>
      <c r="P150" s="80"/>
      <c r="Q150" s="80"/>
      <c r="R150" s="80"/>
      <c r="S150" s="80"/>
      <c r="T150" s="80"/>
      <c r="U150" s="80"/>
      <c r="V150" s="181">
        <v>46232.0</v>
      </c>
      <c r="W150" s="80"/>
      <c r="X150" s="80"/>
      <c r="Y150" s="60"/>
      <c r="Z150" s="60"/>
      <c r="AA150" s="68" t="s">
        <v>180</v>
      </c>
      <c r="AB150" s="130"/>
      <c r="AC150" s="72" t="s">
        <v>181</v>
      </c>
      <c r="AD150" s="130"/>
    </row>
    <row r="151">
      <c r="A151" s="56">
        <v>20.0</v>
      </c>
      <c r="B151" s="56" t="str">
        <f t="shared" si="3"/>
        <v>ALN130</v>
      </c>
      <c r="C151" s="68" t="s">
        <v>118</v>
      </c>
      <c r="D151" s="46">
        <v>130.0</v>
      </c>
      <c r="E151" s="174">
        <v>15.0</v>
      </c>
      <c r="F151" s="176" t="s">
        <v>357</v>
      </c>
      <c r="G151" s="7" t="str">
        <f t="shared" si="2"/>
        <v>ALN130--15-AP</v>
      </c>
      <c r="H151" s="68" t="str">
        <f t="shared" si="4"/>
        <v>ألين - 130</v>
      </c>
      <c r="I151" s="177"/>
      <c r="J151" s="51" t="s">
        <v>301</v>
      </c>
      <c r="K151" s="173">
        <v>134.0</v>
      </c>
      <c r="L151" s="7">
        <v>2139000.0</v>
      </c>
      <c r="M151" s="178" t="s">
        <v>322</v>
      </c>
      <c r="N151" s="46">
        <v>3.0</v>
      </c>
      <c r="O151" s="46">
        <v>4.0</v>
      </c>
      <c r="P151" s="80"/>
      <c r="Q151" s="80"/>
      <c r="R151" s="80"/>
      <c r="S151" s="80"/>
      <c r="T151" s="80"/>
      <c r="U151" s="80"/>
      <c r="V151" s="181">
        <v>46232.0</v>
      </c>
      <c r="W151" s="80"/>
      <c r="X151" s="80"/>
      <c r="Y151" s="60"/>
      <c r="Z151" s="60"/>
      <c r="AA151" s="68" t="s">
        <v>180</v>
      </c>
      <c r="AB151" s="130"/>
      <c r="AC151" s="72" t="s">
        <v>181</v>
      </c>
      <c r="AD151" s="130"/>
    </row>
    <row r="152">
      <c r="A152" s="56">
        <v>20.0</v>
      </c>
      <c r="B152" s="56" t="str">
        <f t="shared" si="3"/>
        <v>ALN130</v>
      </c>
      <c r="C152" s="68" t="s">
        <v>118</v>
      </c>
      <c r="D152" s="46">
        <v>130.0</v>
      </c>
      <c r="E152" s="174">
        <v>16.0</v>
      </c>
      <c r="F152" s="176" t="s">
        <v>357</v>
      </c>
      <c r="G152" s="7" t="str">
        <f t="shared" si="2"/>
        <v>ALN130--16-AP</v>
      </c>
      <c r="H152" s="68" t="str">
        <f t="shared" si="4"/>
        <v>ألين - 130</v>
      </c>
      <c r="I152" s="177"/>
      <c r="J152" s="51" t="s">
        <v>301</v>
      </c>
      <c r="K152" s="173">
        <v>170.0</v>
      </c>
      <c r="L152" s="7">
        <v>2679000.0</v>
      </c>
      <c r="M152" s="178" t="s">
        <v>322</v>
      </c>
      <c r="N152" s="46">
        <v>3.0</v>
      </c>
      <c r="O152" s="46">
        <v>4.0</v>
      </c>
      <c r="P152" s="80"/>
      <c r="Q152" s="80"/>
      <c r="R152" s="80"/>
      <c r="S152" s="80"/>
      <c r="T152" s="80"/>
      <c r="U152" s="80"/>
      <c r="V152" s="181">
        <v>46232.0</v>
      </c>
      <c r="W152" s="80"/>
      <c r="X152" s="80"/>
      <c r="Y152" s="60"/>
      <c r="Z152" s="60"/>
      <c r="AA152" s="68" t="s">
        <v>180</v>
      </c>
      <c r="AB152" s="130"/>
      <c r="AC152" s="72" t="s">
        <v>181</v>
      </c>
      <c r="AD152" s="130"/>
    </row>
    <row r="153">
      <c r="A153" s="56">
        <v>20.0</v>
      </c>
      <c r="B153" s="56" t="str">
        <f t="shared" si="3"/>
        <v>ALN130</v>
      </c>
      <c r="C153" s="68" t="s">
        <v>118</v>
      </c>
      <c r="D153" s="46">
        <v>130.0</v>
      </c>
      <c r="E153" s="174">
        <v>17.0</v>
      </c>
      <c r="F153" s="176" t="s">
        <v>357</v>
      </c>
      <c r="G153" s="7" t="str">
        <f t="shared" si="2"/>
        <v>ALN130--17-AP</v>
      </c>
      <c r="H153" s="68" t="str">
        <f t="shared" si="4"/>
        <v>ألين - 130</v>
      </c>
      <c r="I153" s="177"/>
      <c r="J153" s="51" t="s">
        <v>301</v>
      </c>
      <c r="K153" s="173">
        <v>147.0</v>
      </c>
      <c r="L153" s="7">
        <v>2249000.0</v>
      </c>
      <c r="M153" s="178" t="s">
        <v>322</v>
      </c>
      <c r="N153" s="46">
        <v>3.0</v>
      </c>
      <c r="O153" s="46">
        <v>4.0</v>
      </c>
      <c r="P153" s="80"/>
      <c r="Q153" s="80"/>
      <c r="R153" s="80"/>
      <c r="S153" s="80"/>
      <c r="T153" s="80"/>
      <c r="U153" s="80"/>
      <c r="V153" s="181">
        <v>46232.0</v>
      </c>
      <c r="W153" s="80"/>
      <c r="X153" s="80"/>
      <c r="Y153" s="60"/>
      <c r="Z153" s="60"/>
      <c r="AA153" s="68" t="s">
        <v>180</v>
      </c>
      <c r="AB153" s="130"/>
      <c r="AC153" s="72" t="s">
        <v>181</v>
      </c>
      <c r="AD153" s="130"/>
    </row>
    <row r="154">
      <c r="A154" s="56">
        <v>20.0</v>
      </c>
      <c r="B154" s="56" t="str">
        <f t="shared" si="3"/>
        <v>ALN130</v>
      </c>
      <c r="C154" s="68" t="s">
        <v>118</v>
      </c>
      <c r="D154" s="46">
        <v>130.0</v>
      </c>
      <c r="E154" s="174">
        <v>18.0</v>
      </c>
      <c r="F154" s="176" t="s">
        <v>357</v>
      </c>
      <c r="G154" s="7" t="str">
        <f t="shared" si="2"/>
        <v>ALN130--18-AP</v>
      </c>
      <c r="H154" s="68" t="str">
        <f t="shared" si="4"/>
        <v>ألين - 130</v>
      </c>
      <c r="I154" s="177"/>
      <c r="J154" s="51" t="s">
        <v>301</v>
      </c>
      <c r="K154" s="173">
        <v>124.0</v>
      </c>
      <c r="L154" s="7">
        <v>1939000.0</v>
      </c>
      <c r="M154" s="178" t="s">
        <v>322</v>
      </c>
      <c r="N154" s="46">
        <v>2.0</v>
      </c>
      <c r="O154" s="46">
        <v>4.0</v>
      </c>
      <c r="P154" s="80"/>
      <c r="Q154" s="80"/>
      <c r="R154" s="80"/>
      <c r="S154" s="80"/>
      <c r="T154" s="80"/>
      <c r="U154" s="80"/>
      <c r="V154" s="181">
        <v>46232.0</v>
      </c>
      <c r="W154" s="80"/>
      <c r="X154" s="80"/>
      <c r="Y154" s="60"/>
      <c r="Z154" s="60"/>
      <c r="AA154" s="68" t="s">
        <v>180</v>
      </c>
      <c r="AB154" s="130"/>
      <c r="AC154" s="72" t="s">
        <v>181</v>
      </c>
      <c r="AD154" s="130"/>
    </row>
    <row r="155">
      <c r="A155" s="56">
        <v>20.0</v>
      </c>
      <c r="B155" s="56" t="str">
        <f t="shared" si="3"/>
        <v>ALN130</v>
      </c>
      <c r="C155" s="68" t="s">
        <v>118</v>
      </c>
      <c r="D155" s="46">
        <v>130.0</v>
      </c>
      <c r="E155" s="174">
        <v>19.0</v>
      </c>
      <c r="F155" s="176" t="s">
        <v>357</v>
      </c>
      <c r="G155" s="7" t="str">
        <f t="shared" si="2"/>
        <v>ALN130--19-AP</v>
      </c>
      <c r="H155" s="68" t="str">
        <f t="shared" si="4"/>
        <v>ألين - 130</v>
      </c>
      <c r="I155" s="177"/>
      <c r="J155" s="51" t="s">
        <v>301</v>
      </c>
      <c r="K155" s="173">
        <v>89.0</v>
      </c>
      <c r="L155" s="7">
        <v>1559000.0</v>
      </c>
      <c r="M155" s="178" t="s">
        <v>322</v>
      </c>
      <c r="N155" s="46">
        <v>2.0</v>
      </c>
      <c r="O155" s="46">
        <v>3.0</v>
      </c>
      <c r="P155" s="80"/>
      <c r="Q155" s="80"/>
      <c r="R155" s="80"/>
      <c r="S155" s="80"/>
      <c r="T155" s="80"/>
      <c r="U155" s="80"/>
      <c r="V155" s="181">
        <v>46232.0</v>
      </c>
      <c r="W155" s="80"/>
      <c r="X155" s="80"/>
      <c r="Y155" s="60"/>
      <c r="Z155" s="60"/>
      <c r="AA155" s="68" t="s">
        <v>180</v>
      </c>
      <c r="AB155" s="130"/>
      <c r="AC155" s="72" t="s">
        <v>181</v>
      </c>
      <c r="AD155" s="130"/>
    </row>
    <row r="156">
      <c r="A156" s="56">
        <v>20.0</v>
      </c>
      <c r="B156" s="56" t="str">
        <f t="shared" si="3"/>
        <v>ALN130</v>
      </c>
      <c r="C156" s="68" t="s">
        <v>118</v>
      </c>
      <c r="D156" s="46">
        <v>130.0</v>
      </c>
      <c r="E156" s="174">
        <v>20.0</v>
      </c>
      <c r="F156" s="176" t="s">
        <v>357</v>
      </c>
      <c r="G156" s="7" t="str">
        <f t="shared" si="2"/>
        <v>ALN130--20-AP</v>
      </c>
      <c r="H156" s="68" t="str">
        <f t="shared" si="4"/>
        <v>ألين - 130</v>
      </c>
      <c r="I156" s="177"/>
      <c r="J156" s="51" t="s">
        <v>301</v>
      </c>
      <c r="K156" s="173">
        <v>89.0</v>
      </c>
      <c r="L156" s="7">
        <v>1559000.0</v>
      </c>
      <c r="M156" s="178" t="s">
        <v>322</v>
      </c>
      <c r="N156" s="46">
        <v>2.0</v>
      </c>
      <c r="O156" s="46">
        <v>3.0</v>
      </c>
      <c r="P156" s="80"/>
      <c r="Q156" s="80"/>
      <c r="R156" s="80"/>
      <c r="S156" s="80"/>
      <c r="T156" s="80"/>
      <c r="U156" s="80"/>
      <c r="V156" s="181">
        <v>46232.0</v>
      </c>
      <c r="W156" s="80"/>
      <c r="X156" s="80"/>
      <c r="Y156" s="60"/>
      <c r="Z156" s="60"/>
      <c r="AA156" s="68" t="s">
        <v>180</v>
      </c>
      <c r="AB156" s="130"/>
      <c r="AC156" s="72" t="s">
        <v>181</v>
      </c>
      <c r="AD156" s="130"/>
    </row>
    <row r="157">
      <c r="A157" s="56">
        <v>20.0</v>
      </c>
      <c r="B157" s="56" t="str">
        <f t="shared" si="3"/>
        <v>ALN130</v>
      </c>
      <c r="C157" s="68" t="s">
        <v>118</v>
      </c>
      <c r="D157" s="46">
        <v>130.0</v>
      </c>
      <c r="E157" s="174">
        <v>21.0</v>
      </c>
      <c r="F157" s="176" t="s">
        <v>357</v>
      </c>
      <c r="G157" s="7" t="str">
        <f t="shared" si="2"/>
        <v>ALN130--21-AP</v>
      </c>
      <c r="H157" s="68" t="str">
        <f t="shared" si="4"/>
        <v>ألين - 130</v>
      </c>
      <c r="I157" s="177"/>
      <c r="J157" s="51" t="s">
        <v>301</v>
      </c>
      <c r="K157" s="173">
        <v>107.0</v>
      </c>
      <c r="L157" s="7">
        <v>1849000.0</v>
      </c>
      <c r="M157" s="178" t="s">
        <v>322</v>
      </c>
      <c r="N157" s="46">
        <v>2.0</v>
      </c>
      <c r="O157" s="46">
        <v>4.0</v>
      </c>
      <c r="P157" s="80"/>
      <c r="Q157" s="80"/>
      <c r="R157" s="80"/>
      <c r="S157" s="80"/>
      <c r="T157" s="80"/>
      <c r="U157" s="80"/>
      <c r="V157" s="181">
        <v>46232.0</v>
      </c>
      <c r="W157" s="80"/>
      <c r="X157" s="80"/>
      <c r="Y157" s="60"/>
      <c r="Z157" s="60"/>
      <c r="AA157" s="68" t="s">
        <v>180</v>
      </c>
      <c r="AB157" s="130"/>
      <c r="AC157" s="72" t="s">
        <v>181</v>
      </c>
      <c r="AD157" s="130"/>
    </row>
    <row r="158">
      <c r="A158" s="56">
        <v>20.0</v>
      </c>
      <c r="B158" s="56" t="str">
        <f t="shared" si="3"/>
        <v>ALN130</v>
      </c>
      <c r="C158" s="68" t="s">
        <v>118</v>
      </c>
      <c r="D158" s="46">
        <v>130.0</v>
      </c>
      <c r="E158" s="174">
        <v>22.0</v>
      </c>
      <c r="F158" s="176" t="s">
        <v>357</v>
      </c>
      <c r="G158" s="7" t="str">
        <f t="shared" si="2"/>
        <v>ALN130--22-AP</v>
      </c>
      <c r="H158" s="68" t="str">
        <f t="shared" si="4"/>
        <v>ألين - 130</v>
      </c>
      <c r="I158" s="177"/>
      <c r="J158" s="51" t="s">
        <v>301</v>
      </c>
      <c r="K158" s="173">
        <v>163.0</v>
      </c>
      <c r="L158" s="7">
        <v>2579000.0</v>
      </c>
      <c r="M158" s="178" t="s">
        <v>322</v>
      </c>
      <c r="N158" s="46">
        <v>3.0</v>
      </c>
      <c r="O158" s="46">
        <v>4.0</v>
      </c>
      <c r="P158" s="80"/>
      <c r="Q158" s="80"/>
      <c r="R158" s="80"/>
      <c r="S158" s="80"/>
      <c r="T158" s="80"/>
      <c r="U158" s="80"/>
      <c r="V158" s="181">
        <v>46232.0</v>
      </c>
      <c r="W158" s="80"/>
      <c r="X158" s="80"/>
      <c r="Y158" s="60"/>
      <c r="Z158" s="60"/>
      <c r="AA158" s="68" t="s">
        <v>180</v>
      </c>
      <c r="AB158" s="130"/>
      <c r="AC158" s="72" t="s">
        <v>181</v>
      </c>
      <c r="AD158" s="130"/>
    </row>
    <row r="159">
      <c r="A159" s="56">
        <v>20.0</v>
      </c>
      <c r="B159" s="56" t="str">
        <f t="shared" si="3"/>
        <v>ALN130</v>
      </c>
      <c r="C159" s="68" t="s">
        <v>118</v>
      </c>
      <c r="D159" s="46">
        <v>130.0</v>
      </c>
      <c r="E159" s="174">
        <v>23.0</v>
      </c>
      <c r="F159" s="176" t="s">
        <v>357</v>
      </c>
      <c r="G159" s="7" t="str">
        <f t="shared" si="2"/>
        <v>ALN130--23-AP</v>
      </c>
      <c r="H159" s="68" t="str">
        <f t="shared" si="4"/>
        <v>ألين - 130</v>
      </c>
      <c r="I159" s="177"/>
      <c r="J159" s="51" t="s">
        <v>301</v>
      </c>
      <c r="K159" s="173">
        <v>128.0</v>
      </c>
      <c r="L159" s="7">
        <v>2049000.0</v>
      </c>
      <c r="M159" s="178" t="s">
        <v>322</v>
      </c>
      <c r="N159" s="46">
        <v>3.0</v>
      </c>
      <c r="O159" s="46">
        <v>4.0</v>
      </c>
      <c r="P159" s="80"/>
      <c r="Q159" s="80"/>
      <c r="R159" s="80"/>
      <c r="S159" s="80"/>
      <c r="T159" s="80"/>
      <c r="U159" s="80"/>
      <c r="V159" s="181">
        <v>46232.0</v>
      </c>
      <c r="W159" s="80"/>
      <c r="X159" s="80"/>
      <c r="Y159" s="60"/>
      <c r="Z159" s="60"/>
      <c r="AA159" s="68" t="s">
        <v>180</v>
      </c>
      <c r="AB159" s="130"/>
      <c r="AC159" s="72" t="s">
        <v>181</v>
      </c>
      <c r="AD159" s="130"/>
    </row>
    <row r="160">
      <c r="A160" s="56">
        <v>20.0</v>
      </c>
      <c r="B160" s="56" t="str">
        <f t="shared" si="3"/>
        <v>ALN130</v>
      </c>
      <c r="C160" s="68" t="s">
        <v>118</v>
      </c>
      <c r="D160" s="46">
        <v>130.0</v>
      </c>
      <c r="E160" s="174">
        <v>24.0</v>
      </c>
      <c r="F160" s="176" t="s">
        <v>357</v>
      </c>
      <c r="G160" s="7" t="str">
        <f t="shared" si="2"/>
        <v>ALN130--24-AP</v>
      </c>
      <c r="H160" s="68" t="str">
        <f t="shared" si="4"/>
        <v>ألين - 130</v>
      </c>
      <c r="I160" s="177"/>
      <c r="J160" s="51" t="s">
        <v>301</v>
      </c>
      <c r="K160" s="173">
        <v>128.0</v>
      </c>
      <c r="L160" s="7">
        <v>2049000.0</v>
      </c>
      <c r="M160" s="178" t="s">
        <v>322</v>
      </c>
      <c r="N160" s="46">
        <v>3.0</v>
      </c>
      <c r="O160" s="46">
        <v>4.0</v>
      </c>
      <c r="P160" s="80"/>
      <c r="Q160" s="80"/>
      <c r="R160" s="80"/>
      <c r="S160" s="80"/>
      <c r="T160" s="80"/>
      <c r="U160" s="80"/>
      <c r="V160" s="181">
        <v>46232.0</v>
      </c>
      <c r="W160" s="80"/>
      <c r="X160" s="80"/>
      <c r="Y160" s="60"/>
      <c r="Z160" s="60"/>
      <c r="AA160" s="68" t="s">
        <v>180</v>
      </c>
      <c r="AB160" s="130"/>
      <c r="AC160" s="72" t="s">
        <v>181</v>
      </c>
      <c r="AD160" s="130"/>
    </row>
    <row r="161">
      <c r="A161" s="56">
        <v>20.0</v>
      </c>
      <c r="B161" s="56" t="str">
        <f t="shared" si="3"/>
        <v>ALN130</v>
      </c>
      <c r="C161" s="68" t="s">
        <v>118</v>
      </c>
      <c r="D161" s="46">
        <v>130.0</v>
      </c>
      <c r="E161" s="174">
        <v>25.0</v>
      </c>
      <c r="F161" s="176" t="s">
        <v>357</v>
      </c>
      <c r="G161" s="7" t="str">
        <f t="shared" si="2"/>
        <v>ALN130--25-AP</v>
      </c>
      <c r="H161" s="68" t="str">
        <f t="shared" si="4"/>
        <v>ألين - 130</v>
      </c>
      <c r="I161" s="177"/>
      <c r="J161" s="51" t="s">
        <v>301</v>
      </c>
      <c r="K161" s="173">
        <v>163.0</v>
      </c>
      <c r="L161" s="7">
        <v>2579000.0</v>
      </c>
      <c r="M161" s="178" t="s">
        <v>322</v>
      </c>
      <c r="N161" s="46">
        <v>3.0</v>
      </c>
      <c r="O161" s="46">
        <v>4.0</v>
      </c>
      <c r="P161" s="80"/>
      <c r="Q161" s="80"/>
      <c r="R161" s="80"/>
      <c r="S161" s="80"/>
      <c r="T161" s="80"/>
      <c r="U161" s="80"/>
      <c r="V161" s="181">
        <v>46232.0</v>
      </c>
      <c r="W161" s="80"/>
      <c r="X161" s="80"/>
      <c r="Y161" s="60"/>
      <c r="Z161" s="60"/>
      <c r="AA161" s="68" t="s">
        <v>180</v>
      </c>
      <c r="AB161" s="130"/>
      <c r="AC161" s="72" t="s">
        <v>181</v>
      </c>
      <c r="AD161" s="130"/>
    </row>
    <row r="162">
      <c r="A162" s="56">
        <v>20.0</v>
      </c>
      <c r="B162" s="56" t="str">
        <f t="shared" si="3"/>
        <v>ALN130</v>
      </c>
      <c r="C162" s="68" t="s">
        <v>118</v>
      </c>
      <c r="D162" s="46">
        <v>130.0</v>
      </c>
      <c r="E162" s="174">
        <v>26.0</v>
      </c>
      <c r="F162" s="176" t="s">
        <v>357</v>
      </c>
      <c r="G162" s="7" t="str">
        <f t="shared" si="2"/>
        <v>ALN130--26-AP</v>
      </c>
      <c r="H162" s="68" t="str">
        <f t="shared" si="4"/>
        <v>ألين - 130</v>
      </c>
      <c r="I162" s="177"/>
      <c r="J162" s="51" t="s">
        <v>301</v>
      </c>
      <c r="K162" s="173">
        <v>107.0</v>
      </c>
      <c r="L162" s="7">
        <v>1849000.0</v>
      </c>
      <c r="M162" s="178" t="s">
        <v>322</v>
      </c>
      <c r="N162" s="46">
        <v>2.0</v>
      </c>
      <c r="O162" s="46">
        <v>4.0</v>
      </c>
      <c r="P162" s="80"/>
      <c r="Q162" s="80"/>
      <c r="R162" s="80"/>
      <c r="S162" s="80"/>
      <c r="T162" s="80"/>
      <c r="U162" s="80"/>
      <c r="V162" s="181">
        <v>46232.0</v>
      </c>
      <c r="W162" s="80"/>
      <c r="X162" s="80"/>
      <c r="Y162" s="60"/>
      <c r="Z162" s="60"/>
      <c r="AA162" s="68" t="s">
        <v>180</v>
      </c>
      <c r="AB162" s="130"/>
      <c r="AC162" s="72" t="s">
        <v>181</v>
      </c>
      <c r="AD162" s="130"/>
    </row>
    <row r="163">
      <c r="A163" s="56">
        <v>20.0</v>
      </c>
      <c r="B163" s="56" t="str">
        <f t="shared" si="3"/>
        <v>ALN130</v>
      </c>
      <c r="C163" s="68" t="s">
        <v>118</v>
      </c>
      <c r="D163" s="46">
        <v>130.0</v>
      </c>
      <c r="E163" s="174">
        <v>27.0</v>
      </c>
      <c r="F163" s="176" t="s">
        <v>357</v>
      </c>
      <c r="G163" s="7" t="str">
        <f t="shared" si="2"/>
        <v>ALN130--27-AP</v>
      </c>
      <c r="H163" s="68" t="str">
        <f t="shared" si="4"/>
        <v>ألين - 130</v>
      </c>
      <c r="I163" s="177"/>
      <c r="J163" s="51" t="s">
        <v>301</v>
      </c>
      <c r="K163" s="173">
        <v>89.0</v>
      </c>
      <c r="L163" s="7">
        <v>1559000.0</v>
      </c>
      <c r="M163" s="178" t="s">
        <v>322</v>
      </c>
      <c r="N163" s="46">
        <v>2.0</v>
      </c>
      <c r="O163" s="46">
        <v>3.0</v>
      </c>
      <c r="P163" s="80"/>
      <c r="Q163" s="80"/>
      <c r="R163" s="80"/>
      <c r="S163" s="80"/>
      <c r="T163" s="80"/>
      <c r="U163" s="80"/>
      <c r="V163" s="181">
        <v>46232.0</v>
      </c>
      <c r="W163" s="80"/>
      <c r="X163" s="80"/>
      <c r="Y163" s="60"/>
      <c r="Z163" s="60"/>
      <c r="AA163" s="68" t="s">
        <v>180</v>
      </c>
      <c r="AB163" s="130"/>
      <c r="AC163" s="72" t="s">
        <v>181</v>
      </c>
      <c r="AD163" s="130"/>
    </row>
    <row r="164">
      <c r="A164" s="56">
        <v>20.0</v>
      </c>
      <c r="B164" s="56" t="str">
        <f t="shared" si="3"/>
        <v>ALN130</v>
      </c>
      <c r="C164" s="68" t="s">
        <v>118</v>
      </c>
      <c r="D164" s="46">
        <v>130.0</v>
      </c>
      <c r="E164" s="174">
        <v>28.0</v>
      </c>
      <c r="F164" s="176" t="s">
        <v>357</v>
      </c>
      <c r="G164" s="7" t="str">
        <f t="shared" si="2"/>
        <v>ALN130--28-AP</v>
      </c>
      <c r="H164" s="68" t="str">
        <f t="shared" si="4"/>
        <v>ألين - 130</v>
      </c>
      <c r="I164" s="177"/>
      <c r="J164" s="51" t="s">
        <v>301</v>
      </c>
      <c r="K164" s="173">
        <v>111.0</v>
      </c>
      <c r="L164" s="7">
        <v>2699000.0</v>
      </c>
      <c r="M164" s="178" t="s">
        <v>322</v>
      </c>
      <c r="N164" s="46">
        <v>3.0</v>
      </c>
      <c r="O164" s="46">
        <v>3.0</v>
      </c>
      <c r="P164" s="80"/>
      <c r="Q164" s="80"/>
      <c r="R164" s="80"/>
      <c r="S164" s="80"/>
      <c r="T164" s="80"/>
      <c r="U164" s="80"/>
      <c r="V164" s="181">
        <v>46232.0</v>
      </c>
      <c r="W164" s="80"/>
      <c r="X164" s="80"/>
      <c r="Y164" s="60"/>
      <c r="Z164" s="60"/>
      <c r="AA164" s="68" t="s">
        <v>180</v>
      </c>
      <c r="AB164" s="130"/>
      <c r="AC164" s="72" t="s">
        <v>181</v>
      </c>
      <c r="AD164" s="130"/>
    </row>
    <row r="165">
      <c r="A165" s="56">
        <v>20.0</v>
      </c>
      <c r="B165" s="56" t="str">
        <f t="shared" si="3"/>
        <v>ALN130</v>
      </c>
      <c r="C165" s="68" t="s">
        <v>118</v>
      </c>
      <c r="D165" s="46">
        <v>130.0</v>
      </c>
      <c r="E165" s="174">
        <v>29.0</v>
      </c>
      <c r="F165" s="176" t="s">
        <v>357</v>
      </c>
      <c r="G165" s="7" t="str">
        <f t="shared" si="2"/>
        <v>ALN130--29-AP</v>
      </c>
      <c r="H165" s="68" t="str">
        <f t="shared" si="4"/>
        <v>ألين - 130</v>
      </c>
      <c r="I165" s="177"/>
      <c r="J165" s="51" t="s">
        <v>301</v>
      </c>
      <c r="K165" s="173">
        <v>97.0</v>
      </c>
      <c r="L165" s="7">
        <v>1679000.0</v>
      </c>
      <c r="M165" s="178" t="s">
        <v>322</v>
      </c>
      <c r="N165" s="46">
        <v>2.0</v>
      </c>
      <c r="O165" s="46">
        <v>4.0</v>
      </c>
      <c r="P165" s="80"/>
      <c r="Q165" s="80"/>
      <c r="R165" s="80"/>
      <c r="S165" s="80"/>
      <c r="T165" s="80"/>
      <c r="U165" s="80"/>
      <c r="V165" s="181">
        <v>46232.0</v>
      </c>
      <c r="W165" s="80"/>
      <c r="X165" s="80"/>
      <c r="Y165" s="60"/>
      <c r="Z165" s="60"/>
      <c r="AA165" s="68" t="s">
        <v>180</v>
      </c>
      <c r="AB165" s="130"/>
      <c r="AC165" s="72" t="s">
        <v>181</v>
      </c>
      <c r="AD165" s="130"/>
    </row>
    <row r="166">
      <c r="A166" s="56">
        <v>20.0</v>
      </c>
      <c r="B166" s="56" t="str">
        <f t="shared" si="3"/>
        <v>ALN130</v>
      </c>
      <c r="C166" s="68" t="s">
        <v>118</v>
      </c>
      <c r="D166" s="46">
        <v>130.0</v>
      </c>
      <c r="E166" s="174">
        <v>30.0</v>
      </c>
      <c r="F166" s="176" t="s">
        <v>357</v>
      </c>
      <c r="G166" s="7" t="str">
        <f t="shared" si="2"/>
        <v>ALN130--30-AP</v>
      </c>
      <c r="H166" s="68" t="str">
        <f t="shared" si="4"/>
        <v>ألين - 130</v>
      </c>
      <c r="I166" s="177"/>
      <c r="J166" s="51" t="s">
        <v>301</v>
      </c>
      <c r="K166" s="173">
        <v>97.0</v>
      </c>
      <c r="L166" s="7">
        <v>1679000.0</v>
      </c>
      <c r="M166" s="178" t="s">
        <v>322</v>
      </c>
      <c r="N166" s="46">
        <v>2.0</v>
      </c>
      <c r="O166" s="46">
        <v>4.0</v>
      </c>
      <c r="P166" s="80"/>
      <c r="Q166" s="80"/>
      <c r="R166" s="80"/>
      <c r="S166" s="80"/>
      <c r="T166" s="80"/>
      <c r="U166" s="80"/>
      <c r="V166" s="181">
        <v>46232.0</v>
      </c>
      <c r="W166" s="80"/>
      <c r="X166" s="80"/>
      <c r="Y166" s="60"/>
      <c r="Z166" s="60"/>
      <c r="AA166" s="68" t="s">
        <v>180</v>
      </c>
      <c r="AB166" s="130"/>
      <c r="AC166" s="72" t="s">
        <v>181</v>
      </c>
      <c r="AD166" s="130"/>
    </row>
    <row r="167">
      <c r="A167" s="56">
        <v>20.0</v>
      </c>
      <c r="B167" s="56" t="str">
        <f t="shared" si="3"/>
        <v>ALN130</v>
      </c>
      <c r="C167" s="68" t="s">
        <v>118</v>
      </c>
      <c r="D167" s="46">
        <v>130.0</v>
      </c>
      <c r="E167" s="174">
        <v>31.0</v>
      </c>
      <c r="F167" s="176" t="s">
        <v>357</v>
      </c>
      <c r="G167" s="7" t="str">
        <f t="shared" si="2"/>
        <v>ALN130--31-AP</v>
      </c>
      <c r="H167" s="68" t="str">
        <f t="shared" si="4"/>
        <v>ألين - 130</v>
      </c>
      <c r="I167" s="177"/>
      <c r="J167" s="51" t="s">
        <v>301</v>
      </c>
      <c r="K167" s="173">
        <v>111.0</v>
      </c>
      <c r="L167" s="7">
        <v>2699000.0</v>
      </c>
      <c r="M167" s="178" t="s">
        <v>322</v>
      </c>
      <c r="N167" s="46">
        <v>3.0</v>
      </c>
      <c r="O167" s="46">
        <v>3.0</v>
      </c>
      <c r="P167" s="80"/>
      <c r="Q167" s="80"/>
      <c r="R167" s="80"/>
      <c r="S167" s="80"/>
      <c r="T167" s="80"/>
      <c r="U167" s="80"/>
      <c r="V167" s="181">
        <v>46232.0</v>
      </c>
      <c r="W167" s="80"/>
      <c r="X167" s="80"/>
      <c r="Y167" s="60"/>
      <c r="Z167" s="60"/>
      <c r="AA167" s="68" t="s">
        <v>180</v>
      </c>
      <c r="AB167" s="130"/>
      <c r="AC167" s="72" t="s">
        <v>181</v>
      </c>
      <c r="AD167" s="130"/>
    </row>
    <row r="168">
      <c r="A168" s="56">
        <v>21.0</v>
      </c>
      <c r="B168" s="56" t="str">
        <f t="shared" si="3"/>
        <v>ALN138</v>
      </c>
      <c r="C168" s="68" t="s">
        <v>118</v>
      </c>
      <c r="D168" s="46">
        <v>138.0</v>
      </c>
      <c r="E168" s="174">
        <v>2.0</v>
      </c>
      <c r="F168" s="176" t="s">
        <v>357</v>
      </c>
      <c r="G168" s="7" t="str">
        <f t="shared" si="2"/>
        <v>ALN138--2-AP</v>
      </c>
      <c r="H168" s="68" t="str">
        <f t="shared" si="4"/>
        <v>ألين - 138</v>
      </c>
      <c r="I168" s="177"/>
      <c r="J168" s="51" t="s">
        <v>301</v>
      </c>
      <c r="K168" s="173">
        <v>104.0</v>
      </c>
      <c r="L168" s="7">
        <v>1919000.0</v>
      </c>
      <c r="M168" s="178" t="s">
        <v>322</v>
      </c>
      <c r="N168" s="46">
        <v>2.0</v>
      </c>
      <c r="O168" s="46">
        <v>3.0</v>
      </c>
      <c r="P168" s="80"/>
      <c r="Q168" s="80"/>
      <c r="R168" s="80"/>
      <c r="S168" s="80"/>
      <c r="T168" s="80"/>
      <c r="U168" s="80"/>
      <c r="V168" s="181">
        <v>46202.0</v>
      </c>
      <c r="W168" s="80"/>
      <c r="X168" s="180" t="s">
        <v>183</v>
      </c>
      <c r="Y168" s="60"/>
      <c r="Z168" s="60"/>
      <c r="AA168" s="68" t="s">
        <v>359</v>
      </c>
      <c r="AB168" s="130"/>
      <c r="AC168" s="72" t="s">
        <v>185</v>
      </c>
      <c r="AD168" s="130"/>
    </row>
    <row r="169">
      <c r="A169" s="56">
        <v>21.0</v>
      </c>
      <c r="B169" s="56" t="str">
        <f t="shared" si="3"/>
        <v>ALN138</v>
      </c>
      <c r="C169" s="68" t="s">
        <v>118</v>
      </c>
      <c r="D169" s="46">
        <v>138.0</v>
      </c>
      <c r="E169" s="174">
        <v>3.0</v>
      </c>
      <c r="F169" s="176" t="s">
        <v>357</v>
      </c>
      <c r="G169" s="7" t="str">
        <f t="shared" si="2"/>
        <v>ALN138--3-AP</v>
      </c>
      <c r="H169" s="68" t="str">
        <f t="shared" si="4"/>
        <v>ألين - 138</v>
      </c>
      <c r="I169" s="177"/>
      <c r="J169" s="51" t="s">
        <v>301</v>
      </c>
      <c r="K169" s="173">
        <v>131.0</v>
      </c>
      <c r="L169" s="7">
        <v>2349000.0</v>
      </c>
      <c r="M169" s="178" t="s">
        <v>322</v>
      </c>
      <c r="N169" s="46">
        <v>3.0</v>
      </c>
      <c r="O169" s="46">
        <v>4.0</v>
      </c>
      <c r="P169" s="80"/>
      <c r="Q169" s="80"/>
      <c r="R169" s="80"/>
      <c r="S169" s="80"/>
      <c r="T169" s="80"/>
      <c r="U169" s="80"/>
      <c r="V169" s="181">
        <v>46202.0</v>
      </c>
      <c r="W169" s="80"/>
      <c r="X169" s="80"/>
      <c r="Y169" s="60"/>
      <c r="Z169" s="60"/>
      <c r="AA169" s="68" t="s">
        <v>359</v>
      </c>
      <c r="AB169" s="130"/>
      <c r="AC169" s="72" t="s">
        <v>185</v>
      </c>
      <c r="AD169" s="130"/>
    </row>
    <row r="170">
      <c r="A170" s="56">
        <v>21.0</v>
      </c>
      <c r="B170" s="56" t="str">
        <f t="shared" si="3"/>
        <v>ALN138</v>
      </c>
      <c r="C170" s="68" t="s">
        <v>118</v>
      </c>
      <c r="D170" s="46">
        <v>138.0</v>
      </c>
      <c r="E170" s="174">
        <v>4.0</v>
      </c>
      <c r="F170" s="176" t="s">
        <v>357</v>
      </c>
      <c r="G170" s="7" t="str">
        <f t="shared" si="2"/>
        <v>ALN138--4-AP</v>
      </c>
      <c r="H170" s="68" t="str">
        <f t="shared" si="4"/>
        <v>ألين - 138</v>
      </c>
      <c r="I170" s="177"/>
      <c r="J170" s="51" t="s">
        <v>301</v>
      </c>
      <c r="K170" s="173">
        <v>135.0</v>
      </c>
      <c r="L170" s="7">
        <v>2139000.0</v>
      </c>
      <c r="M170" s="178" t="s">
        <v>322</v>
      </c>
      <c r="N170" s="46">
        <v>3.0</v>
      </c>
      <c r="O170" s="46">
        <v>3.0</v>
      </c>
      <c r="P170" s="80"/>
      <c r="Q170" s="80"/>
      <c r="R170" s="80"/>
      <c r="S170" s="80"/>
      <c r="T170" s="80"/>
      <c r="U170" s="80"/>
      <c r="V170" s="181">
        <v>46202.0</v>
      </c>
      <c r="W170" s="80"/>
      <c r="X170" s="80"/>
      <c r="Y170" s="60"/>
      <c r="Z170" s="60"/>
      <c r="AA170" s="68" t="s">
        <v>359</v>
      </c>
      <c r="AB170" s="130"/>
      <c r="AC170" s="72" t="s">
        <v>185</v>
      </c>
      <c r="AD170" s="130"/>
    </row>
    <row r="171">
      <c r="A171" s="56">
        <v>21.0</v>
      </c>
      <c r="B171" s="56" t="str">
        <f t="shared" si="3"/>
        <v>ALN138</v>
      </c>
      <c r="C171" s="68" t="s">
        <v>118</v>
      </c>
      <c r="D171" s="46">
        <v>138.0</v>
      </c>
      <c r="E171" s="174">
        <v>5.0</v>
      </c>
      <c r="F171" s="176" t="s">
        <v>357</v>
      </c>
      <c r="G171" s="7" t="str">
        <f t="shared" si="2"/>
        <v>ALN138--5-AP</v>
      </c>
      <c r="H171" s="68" t="str">
        <f t="shared" si="4"/>
        <v>ألين - 138</v>
      </c>
      <c r="I171" s="177"/>
      <c r="J171" s="51" t="s">
        <v>301</v>
      </c>
      <c r="K171" s="173">
        <v>139.0</v>
      </c>
      <c r="L171" s="7">
        <v>2249000.0</v>
      </c>
      <c r="M171" s="178" t="s">
        <v>322</v>
      </c>
      <c r="N171" s="46">
        <v>3.0</v>
      </c>
      <c r="O171" s="46">
        <v>4.0</v>
      </c>
      <c r="P171" s="80"/>
      <c r="Q171" s="80"/>
      <c r="R171" s="80"/>
      <c r="S171" s="80"/>
      <c r="T171" s="80"/>
      <c r="U171" s="80"/>
      <c r="V171" s="181">
        <v>46202.0</v>
      </c>
      <c r="W171" s="80"/>
      <c r="X171" s="80"/>
      <c r="Y171" s="60"/>
      <c r="Z171" s="60"/>
      <c r="AA171" s="68" t="s">
        <v>359</v>
      </c>
      <c r="AB171" s="130"/>
      <c r="AC171" s="72" t="s">
        <v>185</v>
      </c>
      <c r="AD171" s="130"/>
    </row>
    <row r="172">
      <c r="A172" s="56">
        <v>21.0</v>
      </c>
      <c r="B172" s="56" t="str">
        <f t="shared" si="3"/>
        <v>ALN138</v>
      </c>
      <c r="C172" s="68" t="s">
        <v>118</v>
      </c>
      <c r="D172" s="46">
        <v>138.0</v>
      </c>
      <c r="E172" s="174">
        <v>6.0</v>
      </c>
      <c r="F172" s="176" t="s">
        <v>357</v>
      </c>
      <c r="G172" s="7" t="str">
        <f t="shared" si="2"/>
        <v>ALN138--6-AP</v>
      </c>
      <c r="H172" s="68" t="str">
        <f t="shared" si="4"/>
        <v>ألين - 138</v>
      </c>
      <c r="I172" s="177"/>
      <c r="J172" s="51" t="s">
        <v>301</v>
      </c>
      <c r="K172" s="173">
        <v>134.0</v>
      </c>
      <c r="L172" s="7">
        <v>2179000.0</v>
      </c>
      <c r="M172" s="178" t="s">
        <v>322</v>
      </c>
      <c r="N172" s="46">
        <v>3.0</v>
      </c>
      <c r="O172" s="46">
        <v>4.0</v>
      </c>
      <c r="P172" s="80"/>
      <c r="Q172" s="80"/>
      <c r="R172" s="80"/>
      <c r="S172" s="80"/>
      <c r="T172" s="80"/>
      <c r="U172" s="80"/>
      <c r="V172" s="181">
        <v>46202.0</v>
      </c>
      <c r="W172" s="80"/>
      <c r="X172" s="80"/>
      <c r="Y172" s="60"/>
      <c r="Z172" s="60"/>
      <c r="AA172" s="68" t="s">
        <v>359</v>
      </c>
      <c r="AB172" s="130"/>
      <c r="AC172" s="72" t="s">
        <v>185</v>
      </c>
      <c r="AD172" s="130"/>
    </row>
    <row r="173">
      <c r="A173" s="56">
        <v>21.0</v>
      </c>
      <c r="B173" s="56" t="str">
        <f t="shared" si="3"/>
        <v>ALN138</v>
      </c>
      <c r="C173" s="68" t="s">
        <v>118</v>
      </c>
      <c r="D173" s="46">
        <v>138.0</v>
      </c>
      <c r="E173" s="174">
        <v>7.0</v>
      </c>
      <c r="F173" s="176" t="s">
        <v>357</v>
      </c>
      <c r="G173" s="7" t="str">
        <f t="shared" si="2"/>
        <v>ALN138--7-AP</v>
      </c>
      <c r="H173" s="68" t="str">
        <f t="shared" si="4"/>
        <v>ألين - 138</v>
      </c>
      <c r="I173" s="177"/>
      <c r="J173" s="51" t="s">
        <v>301</v>
      </c>
      <c r="K173" s="173">
        <v>130.0</v>
      </c>
      <c r="L173" s="7">
        <v>2119000.0</v>
      </c>
      <c r="M173" s="178" t="s">
        <v>322</v>
      </c>
      <c r="N173" s="46">
        <v>3.0</v>
      </c>
      <c r="O173" s="46">
        <v>3.0</v>
      </c>
      <c r="P173" s="80"/>
      <c r="Q173" s="80"/>
      <c r="R173" s="80"/>
      <c r="S173" s="80"/>
      <c r="T173" s="80"/>
      <c r="U173" s="80"/>
      <c r="V173" s="181">
        <v>46202.0</v>
      </c>
      <c r="W173" s="80"/>
      <c r="X173" s="80"/>
      <c r="Y173" s="60"/>
      <c r="Z173" s="60"/>
      <c r="AA173" s="68" t="s">
        <v>359</v>
      </c>
      <c r="AB173" s="130"/>
      <c r="AC173" s="72" t="s">
        <v>185</v>
      </c>
      <c r="AD173" s="130"/>
    </row>
    <row r="174">
      <c r="A174" s="56">
        <v>21.0</v>
      </c>
      <c r="B174" s="56" t="str">
        <f t="shared" si="3"/>
        <v>ALN138</v>
      </c>
      <c r="C174" s="68" t="s">
        <v>118</v>
      </c>
      <c r="D174" s="46">
        <v>138.0</v>
      </c>
      <c r="E174" s="174">
        <v>8.0</v>
      </c>
      <c r="F174" s="176" t="s">
        <v>357</v>
      </c>
      <c r="G174" s="7" t="str">
        <f t="shared" si="2"/>
        <v>ALN138--8-AP</v>
      </c>
      <c r="H174" s="68" t="str">
        <f t="shared" si="4"/>
        <v>ألين - 138</v>
      </c>
      <c r="I174" s="177"/>
      <c r="J174" s="51" t="s">
        <v>301</v>
      </c>
      <c r="K174" s="173">
        <v>139.0</v>
      </c>
      <c r="L174" s="7">
        <v>2249000.0</v>
      </c>
      <c r="M174" s="178" t="s">
        <v>322</v>
      </c>
      <c r="N174" s="46">
        <v>3.0</v>
      </c>
      <c r="O174" s="46">
        <v>4.0</v>
      </c>
      <c r="P174" s="80"/>
      <c r="Q174" s="80"/>
      <c r="R174" s="80"/>
      <c r="S174" s="80"/>
      <c r="T174" s="80"/>
      <c r="U174" s="80"/>
      <c r="V174" s="181">
        <v>46202.0</v>
      </c>
      <c r="W174" s="80"/>
      <c r="X174" s="80"/>
      <c r="Y174" s="60"/>
      <c r="Z174" s="60"/>
      <c r="AA174" s="68" t="s">
        <v>359</v>
      </c>
      <c r="AB174" s="130"/>
      <c r="AC174" s="72" t="s">
        <v>185</v>
      </c>
      <c r="AD174" s="130"/>
    </row>
    <row r="175">
      <c r="A175" s="56">
        <v>21.0</v>
      </c>
      <c r="B175" s="56" t="str">
        <f t="shared" si="3"/>
        <v>ALN138</v>
      </c>
      <c r="C175" s="68" t="s">
        <v>118</v>
      </c>
      <c r="D175" s="46">
        <v>138.0</v>
      </c>
      <c r="E175" s="174">
        <v>9.0</v>
      </c>
      <c r="F175" s="176" t="s">
        <v>357</v>
      </c>
      <c r="G175" s="7" t="str">
        <f t="shared" si="2"/>
        <v>ALN138--9-AP</v>
      </c>
      <c r="H175" s="68" t="str">
        <f t="shared" si="4"/>
        <v>ألين - 138</v>
      </c>
      <c r="I175" s="177"/>
      <c r="J175" s="51" t="s">
        <v>301</v>
      </c>
      <c r="K175" s="173">
        <v>134.0</v>
      </c>
      <c r="L175" s="7">
        <v>2179000.0</v>
      </c>
      <c r="M175" s="178" t="s">
        <v>322</v>
      </c>
      <c r="N175" s="46">
        <v>3.0</v>
      </c>
      <c r="O175" s="46">
        <v>4.0</v>
      </c>
      <c r="P175" s="80"/>
      <c r="Q175" s="80"/>
      <c r="R175" s="80"/>
      <c r="S175" s="80"/>
      <c r="T175" s="80"/>
      <c r="U175" s="80"/>
      <c r="V175" s="181">
        <v>46202.0</v>
      </c>
      <c r="W175" s="80"/>
      <c r="X175" s="80"/>
      <c r="Y175" s="60"/>
      <c r="Z175" s="60"/>
      <c r="AA175" s="68" t="s">
        <v>359</v>
      </c>
      <c r="AB175" s="130"/>
      <c r="AC175" s="72" t="s">
        <v>185</v>
      </c>
      <c r="AD175" s="130"/>
    </row>
    <row r="176">
      <c r="A176" s="56">
        <v>21.0</v>
      </c>
      <c r="B176" s="56" t="str">
        <f t="shared" si="3"/>
        <v>ALN138</v>
      </c>
      <c r="C176" s="68" t="s">
        <v>118</v>
      </c>
      <c r="D176" s="46">
        <v>138.0</v>
      </c>
      <c r="E176" s="174">
        <v>10.0</v>
      </c>
      <c r="F176" s="176" t="s">
        <v>357</v>
      </c>
      <c r="G176" s="7" t="str">
        <f t="shared" si="2"/>
        <v>ALN138--10-AP</v>
      </c>
      <c r="H176" s="68" t="str">
        <f t="shared" si="4"/>
        <v>ألين - 138</v>
      </c>
      <c r="I176" s="177"/>
      <c r="J176" s="51" t="s">
        <v>301</v>
      </c>
      <c r="K176" s="173">
        <v>91.0</v>
      </c>
      <c r="L176" s="7">
        <v>2199000.0</v>
      </c>
      <c r="M176" s="178" t="s">
        <v>322</v>
      </c>
      <c r="N176" s="46">
        <v>3.0</v>
      </c>
      <c r="O176" s="46">
        <v>2.0</v>
      </c>
      <c r="P176" s="80"/>
      <c r="Q176" s="80"/>
      <c r="R176" s="80"/>
      <c r="S176" s="80"/>
      <c r="T176" s="80"/>
      <c r="U176" s="80"/>
      <c r="V176" s="181">
        <v>46202.0</v>
      </c>
      <c r="W176" s="80"/>
      <c r="X176" s="80"/>
      <c r="Y176" s="60"/>
      <c r="Z176" s="60"/>
      <c r="AA176" s="68" t="s">
        <v>359</v>
      </c>
      <c r="AB176" s="130"/>
      <c r="AC176" s="72" t="s">
        <v>185</v>
      </c>
      <c r="AD176" s="130"/>
    </row>
    <row r="177">
      <c r="A177" s="56">
        <v>21.0</v>
      </c>
      <c r="B177" s="56" t="str">
        <f t="shared" si="3"/>
        <v>ALN138</v>
      </c>
      <c r="C177" s="68" t="s">
        <v>118</v>
      </c>
      <c r="D177" s="46">
        <v>138.0</v>
      </c>
      <c r="E177" s="174">
        <v>11.0</v>
      </c>
      <c r="F177" s="176" t="s">
        <v>357</v>
      </c>
      <c r="G177" s="7" t="str">
        <f t="shared" si="2"/>
        <v>ALN138--11-AP</v>
      </c>
      <c r="H177" s="68" t="str">
        <f t="shared" si="4"/>
        <v>ألين - 138</v>
      </c>
      <c r="I177" s="177"/>
      <c r="J177" s="51" t="s">
        <v>301</v>
      </c>
      <c r="K177" s="173">
        <v>91.0</v>
      </c>
      <c r="L177" s="7">
        <v>2199000.0</v>
      </c>
      <c r="M177" s="178" t="s">
        <v>322</v>
      </c>
      <c r="N177" s="46">
        <v>3.0</v>
      </c>
      <c r="O177" s="46">
        <v>2.0</v>
      </c>
      <c r="P177" s="179"/>
      <c r="Q177" s="80"/>
      <c r="R177" s="80"/>
      <c r="S177" s="80"/>
      <c r="T177" s="80"/>
      <c r="U177" s="80"/>
      <c r="V177" s="181">
        <v>46202.0</v>
      </c>
      <c r="W177" s="80"/>
      <c r="X177" s="80"/>
      <c r="Y177" s="60"/>
      <c r="Z177" s="60"/>
      <c r="AA177" s="68" t="s">
        <v>359</v>
      </c>
      <c r="AB177" s="130"/>
      <c r="AC177" s="72" t="s">
        <v>185</v>
      </c>
      <c r="AD177" s="130"/>
    </row>
    <row r="178">
      <c r="A178" s="56">
        <v>22.0</v>
      </c>
      <c r="B178" s="56" t="str">
        <f t="shared" si="3"/>
        <v>ALN27</v>
      </c>
      <c r="C178" s="68" t="s">
        <v>118</v>
      </c>
      <c r="D178" s="46">
        <v>27.0</v>
      </c>
      <c r="E178" s="174">
        <v>1.0</v>
      </c>
      <c r="F178" s="176" t="s">
        <v>360</v>
      </c>
      <c r="G178" s="7" t="str">
        <f t="shared" si="2"/>
        <v>ALN27-A-1-FL</v>
      </c>
      <c r="H178" s="68" t="str">
        <f t="shared" si="4"/>
        <v>ألين - 27</v>
      </c>
      <c r="I178" s="174" t="s">
        <v>294</v>
      </c>
      <c r="J178" s="51" t="s">
        <v>295</v>
      </c>
      <c r="K178" s="182">
        <v>165.0</v>
      </c>
      <c r="L178" s="7">
        <v>2639000.0</v>
      </c>
      <c r="M178" s="178" t="s">
        <v>296</v>
      </c>
      <c r="N178" s="46">
        <v>3.0</v>
      </c>
      <c r="O178" s="46">
        <v>4.0</v>
      </c>
      <c r="P178" s="179" t="s">
        <v>361</v>
      </c>
      <c r="Q178" s="80"/>
      <c r="R178" s="80"/>
      <c r="S178" s="80"/>
      <c r="T178" s="80"/>
      <c r="U178" s="80"/>
      <c r="V178" s="180"/>
      <c r="W178" s="80"/>
      <c r="X178" s="180" t="s">
        <v>187</v>
      </c>
      <c r="Y178" s="60"/>
      <c r="Z178" s="60"/>
      <c r="AA178" s="68" t="s">
        <v>184</v>
      </c>
      <c r="AB178" s="130"/>
      <c r="AC178" s="72" t="s">
        <v>188</v>
      </c>
      <c r="AD178" s="130"/>
    </row>
    <row r="179">
      <c r="A179" s="56">
        <v>22.0</v>
      </c>
      <c r="B179" s="56" t="str">
        <f t="shared" si="3"/>
        <v>ALN27</v>
      </c>
      <c r="C179" s="68" t="s">
        <v>118</v>
      </c>
      <c r="D179" s="46">
        <v>27.0</v>
      </c>
      <c r="E179" s="174">
        <v>1.0</v>
      </c>
      <c r="F179" s="176" t="s">
        <v>360</v>
      </c>
      <c r="G179" s="7" t="str">
        <f t="shared" si="2"/>
        <v>ALN27-B-1-FL</v>
      </c>
      <c r="H179" s="68" t="str">
        <f t="shared" si="4"/>
        <v>ألين - 27</v>
      </c>
      <c r="I179" s="174" t="s">
        <v>303</v>
      </c>
      <c r="J179" s="51" t="s">
        <v>295</v>
      </c>
      <c r="K179" s="172">
        <v>134.0</v>
      </c>
      <c r="L179" s="7">
        <v>2759000.0</v>
      </c>
      <c r="M179" s="178" t="s">
        <v>296</v>
      </c>
      <c r="N179" s="46">
        <v>4.0</v>
      </c>
      <c r="O179" s="46">
        <v>5.0</v>
      </c>
      <c r="P179" s="179" t="s">
        <v>361</v>
      </c>
      <c r="Q179" s="80"/>
      <c r="R179" s="80"/>
      <c r="S179" s="80"/>
      <c r="T179" s="80"/>
      <c r="U179" s="80"/>
      <c r="V179" s="180"/>
      <c r="W179" s="80"/>
      <c r="X179" s="80"/>
      <c r="Y179" s="60"/>
      <c r="Z179" s="60"/>
      <c r="AA179" s="68" t="s">
        <v>184</v>
      </c>
      <c r="AB179" s="130"/>
      <c r="AC179" s="72" t="s">
        <v>188</v>
      </c>
      <c r="AD179" s="130"/>
    </row>
    <row r="180">
      <c r="A180" s="56">
        <v>22.0</v>
      </c>
      <c r="B180" s="56" t="str">
        <f t="shared" si="3"/>
        <v>ALN27</v>
      </c>
      <c r="C180" s="68" t="s">
        <v>118</v>
      </c>
      <c r="D180" s="46">
        <v>27.0</v>
      </c>
      <c r="E180" s="174">
        <v>2.0</v>
      </c>
      <c r="F180" s="176" t="s">
        <v>360</v>
      </c>
      <c r="G180" s="7" t="str">
        <f t="shared" si="2"/>
        <v>ALN27-A-2-FL</v>
      </c>
      <c r="H180" s="68" t="str">
        <f t="shared" si="4"/>
        <v>ألين - 27</v>
      </c>
      <c r="I180" s="174" t="s">
        <v>294</v>
      </c>
      <c r="J180" s="51" t="s">
        <v>295</v>
      </c>
      <c r="K180" s="172">
        <v>164.0</v>
      </c>
      <c r="L180" s="7">
        <v>2739000.0</v>
      </c>
      <c r="M180" s="178" t="s">
        <v>296</v>
      </c>
      <c r="N180" s="46">
        <v>3.0</v>
      </c>
      <c r="O180" s="46">
        <v>4.0</v>
      </c>
      <c r="P180" s="179" t="s">
        <v>361</v>
      </c>
      <c r="Q180" s="80"/>
      <c r="R180" s="80"/>
      <c r="S180" s="80"/>
      <c r="T180" s="80"/>
      <c r="U180" s="80"/>
      <c r="V180" s="180"/>
      <c r="W180" s="80"/>
      <c r="X180" s="80"/>
      <c r="Y180" s="60"/>
      <c r="Z180" s="60"/>
      <c r="AA180" s="68" t="s">
        <v>184</v>
      </c>
      <c r="AB180" s="130"/>
      <c r="AC180" s="72" t="s">
        <v>188</v>
      </c>
      <c r="AD180" s="130"/>
    </row>
    <row r="181">
      <c r="A181" s="56">
        <v>22.0</v>
      </c>
      <c r="B181" s="56" t="str">
        <f t="shared" si="3"/>
        <v>ALN27</v>
      </c>
      <c r="C181" s="68" t="s">
        <v>118</v>
      </c>
      <c r="D181" s="46">
        <v>27.0</v>
      </c>
      <c r="E181" s="174">
        <v>2.0</v>
      </c>
      <c r="F181" s="176" t="s">
        <v>360</v>
      </c>
      <c r="G181" s="7" t="str">
        <f t="shared" si="2"/>
        <v>ALN27-B-2-FL</v>
      </c>
      <c r="H181" s="68" t="str">
        <f t="shared" si="4"/>
        <v>ألين - 27</v>
      </c>
      <c r="I181" s="174" t="s">
        <v>303</v>
      </c>
      <c r="J181" s="51" t="s">
        <v>295</v>
      </c>
      <c r="K181" s="172">
        <v>132.0</v>
      </c>
      <c r="L181" s="7">
        <v>2769000.0</v>
      </c>
      <c r="M181" s="178" t="s">
        <v>296</v>
      </c>
      <c r="N181" s="46">
        <v>4.0</v>
      </c>
      <c r="O181" s="46">
        <v>4.0</v>
      </c>
      <c r="P181" s="179" t="s">
        <v>361</v>
      </c>
      <c r="Q181" s="80"/>
      <c r="R181" s="80"/>
      <c r="S181" s="80"/>
      <c r="T181" s="80"/>
      <c r="U181" s="80"/>
      <c r="V181" s="180"/>
      <c r="W181" s="80"/>
      <c r="X181" s="80"/>
      <c r="Y181" s="60"/>
      <c r="Z181" s="60"/>
      <c r="AA181" s="68" t="s">
        <v>184</v>
      </c>
      <c r="AB181" s="130"/>
      <c r="AC181" s="72" t="s">
        <v>188</v>
      </c>
      <c r="AD181" s="130"/>
    </row>
    <row r="182">
      <c r="A182" s="56">
        <v>22.0</v>
      </c>
      <c r="B182" s="56" t="str">
        <f t="shared" si="3"/>
        <v>ALN27</v>
      </c>
      <c r="C182" s="68" t="s">
        <v>118</v>
      </c>
      <c r="D182" s="46">
        <v>27.0</v>
      </c>
      <c r="E182" s="174">
        <v>3.0</v>
      </c>
      <c r="F182" s="176" t="s">
        <v>360</v>
      </c>
      <c r="G182" s="7" t="str">
        <f t="shared" si="2"/>
        <v>ALN27-A-3-FL</v>
      </c>
      <c r="H182" s="68" t="str">
        <f t="shared" si="4"/>
        <v>ألين - 27</v>
      </c>
      <c r="I182" s="174" t="s">
        <v>294</v>
      </c>
      <c r="J182" s="51" t="s">
        <v>295</v>
      </c>
      <c r="K182" s="172">
        <v>164.0</v>
      </c>
      <c r="L182" s="7">
        <v>2639000.0</v>
      </c>
      <c r="M182" s="178" t="s">
        <v>296</v>
      </c>
      <c r="N182" s="46">
        <v>3.0</v>
      </c>
      <c r="O182" s="46">
        <v>4.0</v>
      </c>
      <c r="P182" s="179" t="s">
        <v>361</v>
      </c>
      <c r="Q182" s="80"/>
      <c r="R182" s="80"/>
      <c r="S182" s="80"/>
      <c r="T182" s="80"/>
      <c r="U182" s="80"/>
      <c r="V182" s="180"/>
      <c r="W182" s="80"/>
      <c r="X182" s="80"/>
      <c r="Y182" s="60"/>
      <c r="Z182" s="60"/>
      <c r="AA182" s="68" t="s">
        <v>184</v>
      </c>
      <c r="AB182" s="130"/>
      <c r="AC182" s="72" t="s">
        <v>188</v>
      </c>
      <c r="AD182" s="130"/>
    </row>
    <row r="183">
      <c r="A183" s="56">
        <v>22.0</v>
      </c>
      <c r="B183" s="56" t="str">
        <f t="shared" si="3"/>
        <v>ALN27</v>
      </c>
      <c r="C183" s="68" t="s">
        <v>118</v>
      </c>
      <c r="D183" s="46">
        <v>27.0</v>
      </c>
      <c r="E183" s="174">
        <v>3.0</v>
      </c>
      <c r="F183" s="176" t="s">
        <v>360</v>
      </c>
      <c r="G183" s="7" t="str">
        <f t="shared" si="2"/>
        <v>ALN27-B-3-FL</v>
      </c>
      <c r="H183" s="68" t="str">
        <f t="shared" si="4"/>
        <v>ألين - 27</v>
      </c>
      <c r="I183" s="174" t="s">
        <v>303</v>
      </c>
      <c r="J183" s="51" t="s">
        <v>295</v>
      </c>
      <c r="K183" s="172">
        <v>134.0</v>
      </c>
      <c r="L183" s="7">
        <v>2759000.0</v>
      </c>
      <c r="M183" s="178" t="s">
        <v>296</v>
      </c>
      <c r="N183" s="46">
        <v>4.0</v>
      </c>
      <c r="O183" s="46">
        <v>5.0</v>
      </c>
      <c r="P183" s="179" t="s">
        <v>361</v>
      </c>
      <c r="Q183" s="80"/>
      <c r="R183" s="80"/>
      <c r="S183" s="80"/>
      <c r="T183" s="80"/>
      <c r="U183" s="80"/>
      <c r="V183" s="180"/>
      <c r="W183" s="80"/>
      <c r="X183" s="80"/>
      <c r="Y183" s="60"/>
      <c r="Z183" s="60"/>
      <c r="AA183" s="68" t="s">
        <v>184</v>
      </c>
      <c r="AB183" s="130"/>
      <c r="AC183" s="72" t="s">
        <v>188</v>
      </c>
      <c r="AD183" s="130"/>
    </row>
    <row r="184">
      <c r="A184" s="56">
        <v>23.0</v>
      </c>
      <c r="B184" s="56" t="str">
        <f t="shared" si="3"/>
        <v>ALN98</v>
      </c>
      <c r="C184" s="68" t="s">
        <v>118</v>
      </c>
      <c r="D184" s="46">
        <v>98.0</v>
      </c>
      <c r="E184" s="174">
        <v>1.0</v>
      </c>
      <c r="F184" s="176" t="s">
        <v>360</v>
      </c>
      <c r="G184" s="7" t="str">
        <f t="shared" si="2"/>
        <v>ALN98-A-1-FL</v>
      </c>
      <c r="H184" s="68" t="str">
        <f t="shared" si="4"/>
        <v>ألين - 98</v>
      </c>
      <c r="I184" s="174" t="s">
        <v>294</v>
      </c>
      <c r="J184" s="51" t="s">
        <v>295</v>
      </c>
      <c r="K184" s="173">
        <v>264.0</v>
      </c>
      <c r="L184" s="7">
        <v>2699000.0</v>
      </c>
      <c r="M184" s="178" t="s">
        <v>322</v>
      </c>
      <c r="N184" s="46">
        <v>3.0</v>
      </c>
      <c r="O184" s="46">
        <v>5.0</v>
      </c>
      <c r="P184" s="179" t="s">
        <v>361</v>
      </c>
      <c r="Q184" s="80"/>
      <c r="R184" s="80"/>
      <c r="S184" s="80"/>
      <c r="T184" s="80"/>
      <c r="U184" s="80"/>
      <c r="V184" s="181">
        <v>46019.0</v>
      </c>
      <c r="W184" s="80"/>
      <c r="X184" s="180" t="s">
        <v>190</v>
      </c>
      <c r="Y184" s="60"/>
      <c r="Z184" s="60"/>
      <c r="AA184" s="68" t="s">
        <v>159</v>
      </c>
      <c r="AB184" s="130"/>
      <c r="AC184" s="72" t="s">
        <v>191</v>
      </c>
      <c r="AD184" s="130"/>
    </row>
    <row r="185">
      <c r="A185" s="56">
        <v>23.0</v>
      </c>
      <c r="B185" s="56" t="str">
        <f t="shared" si="3"/>
        <v>ALN98</v>
      </c>
      <c r="C185" s="68" t="s">
        <v>118</v>
      </c>
      <c r="D185" s="46">
        <v>98.0</v>
      </c>
      <c r="E185" s="174">
        <v>1.0</v>
      </c>
      <c r="F185" s="176" t="s">
        <v>360</v>
      </c>
      <c r="G185" s="7" t="str">
        <f t="shared" si="2"/>
        <v>ALN98-B-1-FL</v>
      </c>
      <c r="H185" s="68" t="str">
        <f t="shared" si="4"/>
        <v>ألين - 98</v>
      </c>
      <c r="I185" s="174" t="s">
        <v>303</v>
      </c>
      <c r="J185" s="51" t="s">
        <v>295</v>
      </c>
      <c r="K185" s="173">
        <v>237.0</v>
      </c>
      <c r="L185" s="7">
        <v>2499000.0</v>
      </c>
      <c r="M185" s="178" t="s">
        <v>322</v>
      </c>
      <c r="N185" s="46">
        <v>3.0</v>
      </c>
      <c r="O185" s="46">
        <v>4.0</v>
      </c>
      <c r="P185" s="179" t="s">
        <v>361</v>
      </c>
      <c r="Q185" s="80"/>
      <c r="R185" s="80"/>
      <c r="S185" s="80"/>
      <c r="T185" s="80"/>
      <c r="U185" s="80"/>
      <c r="V185" s="181">
        <v>46019.0</v>
      </c>
      <c r="W185" s="80"/>
      <c r="X185" s="80"/>
      <c r="Y185" s="60"/>
      <c r="Z185" s="60"/>
      <c r="AA185" s="68" t="s">
        <v>159</v>
      </c>
      <c r="AB185" s="130"/>
      <c r="AC185" s="72" t="s">
        <v>191</v>
      </c>
      <c r="AD185" s="130"/>
    </row>
    <row r="186">
      <c r="A186" s="56">
        <v>23.0</v>
      </c>
      <c r="B186" s="56" t="str">
        <f t="shared" si="3"/>
        <v>ALN98</v>
      </c>
      <c r="C186" s="68" t="s">
        <v>118</v>
      </c>
      <c r="D186" s="46">
        <v>98.0</v>
      </c>
      <c r="E186" s="174">
        <v>2.0</v>
      </c>
      <c r="F186" s="176" t="s">
        <v>360</v>
      </c>
      <c r="G186" s="7" t="str">
        <f t="shared" si="2"/>
        <v>ALN98-A-2-FL</v>
      </c>
      <c r="H186" s="68" t="str">
        <f t="shared" si="4"/>
        <v>ألين - 98</v>
      </c>
      <c r="I186" s="174" t="s">
        <v>294</v>
      </c>
      <c r="J186" s="51" t="s">
        <v>295</v>
      </c>
      <c r="K186" s="173">
        <v>264.0</v>
      </c>
      <c r="L186" s="7">
        <v>2699000.0</v>
      </c>
      <c r="M186" s="178" t="s">
        <v>322</v>
      </c>
      <c r="N186" s="46">
        <v>3.0</v>
      </c>
      <c r="O186" s="46">
        <v>5.0</v>
      </c>
      <c r="P186" s="179" t="s">
        <v>361</v>
      </c>
      <c r="Q186" s="80"/>
      <c r="R186" s="80"/>
      <c r="S186" s="80"/>
      <c r="T186" s="80"/>
      <c r="U186" s="80"/>
      <c r="V186" s="181">
        <v>46019.0</v>
      </c>
      <c r="W186" s="80"/>
      <c r="X186" s="80"/>
      <c r="Y186" s="60"/>
      <c r="Z186" s="60"/>
      <c r="AA186" s="68" t="s">
        <v>159</v>
      </c>
      <c r="AB186" s="130"/>
      <c r="AC186" s="72" t="s">
        <v>191</v>
      </c>
      <c r="AD186" s="130"/>
    </row>
    <row r="187">
      <c r="A187" s="56">
        <v>24.0</v>
      </c>
      <c r="B187" s="56" t="str">
        <f t="shared" si="3"/>
        <v>ALN114</v>
      </c>
      <c r="C187" s="68" t="s">
        <v>118</v>
      </c>
      <c r="D187" s="46">
        <v>114.0</v>
      </c>
      <c r="E187" s="177"/>
      <c r="F187" s="176" t="s">
        <v>360</v>
      </c>
      <c r="G187" s="7" t="str">
        <f t="shared" si="2"/>
        <v>ALN114-A--FL</v>
      </c>
      <c r="H187" s="68" t="str">
        <f t="shared" si="4"/>
        <v>ألين - 114</v>
      </c>
      <c r="I187" s="174" t="s">
        <v>294</v>
      </c>
      <c r="J187" s="51" t="s">
        <v>295</v>
      </c>
      <c r="K187" s="173">
        <v>177.0</v>
      </c>
      <c r="L187" s="7">
        <v>2259000.0</v>
      </c>
      <c r="M187" s="178" t="s">
        <v>322</v>
      </c>
      <c r="N187" s="46">
        <v>3.0</v>
      </c>
      <c r="O187" s="46">
        <v>3.0</v>
      </c>
      <c r="P187" s="16" t="s">
        <v>358</v>
      </c>
      <c r="Q187" s="80"/>
      <c r="R187" s="80"/>
      <c r="S187" s="80"/>
      <c r="T187" s="80"/>
      <c r="U187" s="80"/>
      <c r="V187" s="181">
        <v>46021.0</v>
      </c>
      <c r="W187" s="80"/>
      <c r="X187" s="180" t="s">
        <v>193</v>
      </c>
      <c r="Y187" s="60"/>
      <c r="Z187" s="60"/>
      <c r="AA187" s="68" t="s">
        <v>159</v>
      </c>
      <c r="AB187" s="130"/>
      <c r="AC187" s="72" t="s">
        <v>194</v>
      </c>
      <c r="AD187" s="130"/>
    </row>
    <row r="188">
      <c r="A188" s="56">
        <v>24.0</v>
      </c>
      <c r="B188" s="56" t="str">
        <f t="shared" si="3"/>
        <v>ALN114</v>
      </c>
      <c r="C188" s="68" t="s">
        <v>118</v>
      </c>
      <c r="D188" s="46">
        <v>114.0</v>
      </c>
      <c r="E188" s="177"/>
      <c r="F188" s="176" t="s">
        <v>360</v>
      </c>
      <c r="G188" s="7" t="str">
        <f t="shared" si="2"/>
        <v>ALN114-A--FL</v>
      </c>
      <c r="H188" s="68" t="str">
        <f t="shared" si="4"/>
        <v>ألين - 114</v>
      </c>
      <c r="I188" s="174" t="s">
        <v>294</v>
      </c>
      <c r="J188" s="51" t="s">
        <v>295</v>
      </c>
      <c r="K188" s="173">
        <v>177.0</v>
      </c>
      <c r="L188" s="7">
        <v>2259000.0</v>
      </c>
      <c r="M188" s="178" t="s">
        <v>322</v>
      </c>
      <c r="N188" s="46">
        <v>3.0</v>
      </c>
      <c r="O188" s="46">
        <v>3.0</v>
      </c>
      <c r="P188" s="16" t="s">
        <v>358</v>
      </c>
      <c r="Q188" s="80"/>
      <c r="R188" s="80"/>
      <c r="S188" s="80"/>
      <c r="T188" s="80"/>
      <c r="U188" s="80"/>
      <c r="V188" s="181">
        <v>46021.0</v>
      </c>
      <c r="W188" s="80"/>
      <c r="X188" s="80"/>
      <c r="Y188" s="60"/>
      <c r="Z188" s="60"/>
      <c r="AA188" s="68" t="s">
        <v>159</v>
      </c>
      <c r="AB188" s="130"/>
      <c r="AC188" s="72" t="s">
        <v>194</v>
      </c>
      <c r="AD188" s="130"/>
    </row>
    <row r="189">
      <c r="A189" s="56">
        <v>24.0</v>
      </c>
      <c r="B189" s="56" t="str">
        <f t="shared" si="3"/>
        <v>ALN114</v>
      </c>
      <c r="C189" s="68" t="s">
        <v>118</v>
      </c>
      <c r="D189" s="46">
        <v>114.0</v>
      </c>
      <c r="E189" s="177"/>
      <c r="F189" s="176" t="s">
        <v>360</v>
      </c>
      <c r="G189" s="7" t="str">
        <f t="shared" si="2"/>
        <v>ALN114-B--FL</v>
      </c>
      <c r="H189" s="68" t="str">
        <f t="shared" si="4"/>
        <v>ألين - 114</v>
      </c>
      <c r="I189" s="174" t="s">
        <v>303</v>
      </c>
      <c r="J189" s="51" t="s">
        <v>295</v>
      </c>
      <c r="K189" s="173">
        <v>191.0</v>
      </c>
      <c r="L189" s="7">
        <v>2289000.0</v>
      </c>
      <c r="M189" s="178" t="s">
        <v>322</v>
      </c>
      <c r="N189" s="46">
        <v>3.0</v>
      </c>
      <c r="O189" s="46">
        <v>3.0</v>
      </c>
      <c r="P189" s="16" t="s">
        <v>358</v>
      </c>
      <c r="Q189" s="80"/>
      <c r="R189" s="80"/>
      <c r="S189" s="80"/>
      <c r="T189" s="80"/>
      <c r="U189" s="80"/>
      <c r="V189" s="181">
        <v>46021.0</v>
      </c>
      <c r="W189" s="80"/>
      <c r="X189" s="80"/>
      <c r="Y189" s="60"/>
      <c r="Z189" s="60"/>
      <c r="AA189" s="68" t="s">
        <v>159</v>
      </c>
      <c r="AB189" s="130"/>
      <c r="AC189" s="72" t="s">
        <v>194</v>
      </c>
      <c r="AD189" s="130"/>
    </row>
    <row r="190">
      <c r="A190" s="56">
        <v>25.0</v>
      </c>
      <c r="B190" s="56" t="str">
        <f t="shared" si="3"/>
        <v>ALN116</v>
      </c>
      <c r="C190" s="68" t="s">
        <v>118</v>
      </c>
      <c r="D190" s="46">
        <v>116.0</v>
      </c>
      <c r="E190" s="174">
        <v>1.0</v>
      </c>
      <c r="F190" s="176" t="s">
        <v>360</v>
      </c>
      <c r="G190" s="7" t="str">
        <f t="shared" si="2"/>
        <v>ALN116-A-1-FL</v>
      </c>
      <c r="H190" s="68" t="str">
        <f t="shared" si="4"/>
        <v>ألين - 116</v>
      </c>
      <c r="I190" s="174" t="s">
        <v>294</v>
      </c>
      <c r="J190" s="51" t="s">
        <v>295</v>
      </c>
      <c r="K190" s="173">
        <v>170.0</v>
      </c>
      <c r="L190" s="7">
        <v>1499000.0</v>
      </c>
      <c r="M190" s="178" t="s">
        <v>322</v>
      </c>
      <c r="N190" s="46">
        <v>3.0</v>
      </c>
      <c r="O190" s="46">
        <v>3.0</v>
      </c>
      <c r="P190" s="80"/>
      <c r="Q190" s="80"/>
      <c r="R190" s="80"/>
      <c r="S190" s="80"/>
      <c r="T190" s="80"/>
      <c r="U190" s="80"/>
      <c r="V190" s="181">
        <v>46022.0</v>
      </c>
      <c r="W190" s="80"/>
      <c r="X190" s="180" t="s">
        <v>196</v>
      </c>
      <c r="Y190" s="60"/>
      <c r="Z190" s="60"/>
      <c r="AA190" s="68" t="s">
        <v>197</v>
      </c>
      <c r="AB190" s="130"/>
      <c r="AC190" s="72" t="s">
        <v>198</v>
      </c>
      <c r="AD190" s="130"/>
    </row>
    <row r="191">
      <c r="A191" s="56">
        <v>25.0</v>
      </c>
      <c r="B191" s="56" t="str">
        <f t="shared" si="3"/>
        <v>ALN116</v>
      </c>
      <c r="C191" s="68" t="s">
        <v>118</v>
      </c>
      <c r="D191" s="46">
        <v>116.0</v>
      </c>
      <c r="E191" s="174">
        <v>1.0</v>
      </c>
      <c r="F191" s="176" t="s">
        <v>360</v>
      </c>
      <c r="G191" s="7" t="str">
        <f t="shared" si="2"/>
        <v>ALN116-B-1-FL</v>
      </c>
      <c r="H191" s="68" t="str">
        <f t="shared" si="4"/>
        <v>ألين - 116</v>
      </c>
      <c r="I191" s="174" t="s">
        <v>303</v>
      </c>
      <c r="J191" s="51" t="s">
        <v>295</v>
      </c>
      <c r="K191" s="173">
        <v>177.0</v>
      </c>
      <c r="L191" s="7">
        <v>1349000.0</v>
      </c>
      <c r="M191" s="178" t="s">
        <v>322</v>
      </c>
      <c r="N191" s="46">
        <v>3.0</v>
      </c>
      <c r="O191" s="46">
        <v>3.0</v>
      </c>
      <c r="P191" s="80"/>
      <c r="Q191" s="80"/>
      <c r="R191" s="80"/>
      <c r="S191" s="80"/>
      <c r="T191" s="80"/>
      <c r="U191" s="80"/>
      <c r="V191" s="181">
        <v>46022.0</v>
      </c>
      <c r="W191" s="80"/>
      <c r="X191" s="80"/>
      <c r="Y191" s="60"/>
      <c r="Z191" s="60"/>
      <c r="AA191" s="68" t="s">
        <v>197</v>
      </c>
      <c r="AB191" s="130"/>
      <c r="AC191" s="72" t="s">
        <v>198</v>
      </c>
      <c r="AD191" s="130"/>
    </row>
    <row r="192">
      <c r="A192" s="56">
        <v>25.0</v>
      </c>
      <c r="B192" s="56" t="str">
        <f t="shared" si="3"/>
        <v>ALN116</v>
      </c>
      <c r="C192" s="68" t="s">
        <v>118</v>
      </c>
      <c r="D192" s="46">
        <v>116.0</v>
      </c>
      <c r="E192" s="174">
        <v>2.0</v>
      </c>
      <c r="F192" s="176" t="s">
        <v>360</v>
      </c>
      <c r="G192" s="7" t="str">
        <f t="shared" si="2"/>
        <v>ALN116-A-2-FL</v>
      </c>
      <c r="H192" s="68" t="str">
        <f t="shared" si="4"/>
        <v>ألين - 116</v>
      </c>
      <c r="I192" s="174" t="s">
        <v>294</v>
      </c>
      <c r="J192" s="51" t="s">
        <v>295</v>
      </c>
      <c r="K192" s="173">
        <v>170.0</v>
      </c>
      <c r="L192" s="7">
        <v>1499000.0</v>
      </c>
      <c r="M192" s="178" t="s">
        <v>322</v>
      </c>
      <c r="N192" s="46">
        <v>3.0</v>
      </c>
      <c r="O192" s="46">
        <v>3.0</v>
      </c>
      <c r="P192" s="80"/>
      <c r="Q192" s="80"/>
      <c r="R192" s="80"/>
      <c r="S192" s="80"/>
      <c r="T192" s="80"/>
      <c r="U192" s="80"/>
      <c r="V192" s="181">
        <v>46022.0</v>
      </c>
      <c r="W192" s="80"/>
      <c r="X192" s="80"/>
      <c r="Y192" s="60"/>
      <c r="Z192" s="60"/>
      <c r="AA192" s="68" t="s">
        <v>197</v>
      </c>
      <c r="AB192" s="130"/>
      <c r="AC192" s="72" t="s">
        <v>198</v>
      </c>
      <c r="AD192" s="130"/>
    </row>
    <row r="193">
      <c r="A193" s="56">
        <v>25.0</v>
      </c>
      <c r="B193" s="56" t="str">
        <f t="shared" si="3"/>
        <v>ALN116</v>
      </c>
      <c r="C193" s="68" t="s">
        <v>118</v>
      </c>
      <c r="D193" s="46">
        <v>116.0</v>
      </c>
      <c r="E193" s="174">
        <v>2.0</v>
      </c>
      <c r="F193" s="176" t="s">
        <v>360</v>
      </c>
      <c r="G193" s="7" t="str">
        <f t="shared" si="2"/>
        <v>ALN116-B-2-FL</v>
      </c>
      <c r="H193" s="68" t="str">
        <f t="shared" si="4"/>
        <v>ألين - 116</v>
      </c>
      <c r="I193" s="174" t="s">
        <v>303</v>
      </c>
      <c r="J193" s="51" t="s">
        <v>295</v>
      </c>
      <c r="K193" s="173">
        <v>177.0</v>
      </c>
      <c r="L193" s="7">
        <v>1349000.0</v>
      </c>
      <c r="M193" s="178" t="s">
        <v>322</v>
      </c>
      <c r="N193" s="46">
        <v>3.0</v>
      </c>
      <c r="O193" s="46">
        <v>3.0</v>
      </c>
      <c r="P193" s="80"/>
      <c r="Q193" s="80"/>
      <c r="R193" s="80"/>
      <c r="S193" s="80"/>
      <c r="T193" s="80"/>
      <c r="U193" s="80"/>
      <c r="V193" s="181">
        <v>46022.0</v>
      </c>
      <c r="W193" s="80"/>
      <c r="X193" s="80"/>
      <c r="Y193" s="60"/>
      <c r="Z193" s="60"/>
      <c r="AA193" s="68" t="s">
        <v>197</v>
      </c>
      <c r="AB193" s="130"/>
      <c r="AC193" s="72" t="s">
        <v>198</v>
      </c>
      <c r="AD193" s="130"/>
    </row>
    <row r="194">
      <c r="A194" s="56">
        <v>26.0</v>
      </c>
      <c r="B194" s="56" t="str">
        <f t="shared" si="3"/>
        <v>ALN118</v>
      </c>
      <c r="C194" s="68" t="s">
        <v>118</v>
      </c>
      <c r="D194" s="46">
        <v>118.0</v>
      </c>
      <c r="E194" s="174">
        <v>4.0</v>
      </c>
      <c r="F194" s="176" t="s">
        <v>360</v>
      </c>
      <c r="G194" s="7" t="str">
        <f t="shared" si="2"/>
        <v>ALN118-A-4-FL</v>
      </c>
      <c r="H194" s="68" t="str">
        <f t="shared" si="4"/>
        <v>ألين - 118</v>
      </c>
      <c r="I194" s="174" t="s">
        <v>294</v>
      </c>
      <c r="J194" s="51" t="s">
        <v>295</v>
      </c>
      <c r="K194" s="173">
        <v>159.0</v>
      </c>
      <c r="L194" s="7">
        <v>2699000.0</v>
      </c>
      <c r="M194" s="178" t="s">
        <v>322</v>
      </c>
      <c r="N194" s="57"/>
      <c r="O194" s="57"/>
      <c r="P194" s="80"/>
      <c r="Q194" s="80"/>
      <c r="R194" s="80"/>
      <c r="S194" s="80"/>
      <c r="T194" s="80"/>
      <c r="U194" s="80"/>
      <c r="V194" s="181">
        <v>46019.0</v>
      </c>
      <c r="W194" s="80"/>
      <c r="X194" s="180" t="s">
        <v>196</v>
      </c>
      <c r="Y194" s="60"/>
      <c r="Z194" s="60"/>
      <c r="AA194" s="68" t="s">
        <v>132</v>
      </c>
      <c r="AB194" s="130"/>
      <c r="AC194" s="72" t="s">
        <v>200</v>
      </c>
      <c r="AD194" s="130"/>
    </row>
    <row r="195">
      <c r="A195" s="56">
        <v>26.0</v>
      </c>
      <c r="B195" s="56" t="str">
        <f t="shared" si="3"/>
        <v>ALN118</v>
      </c>
      <c r="C195" s="68" t="s">
        <v>118</v>
      </c>
      <c r="D195" s="46">
        <v>118.0</v>
      </c>
      <c r="E195" s="174">
        <v>4.0</v>
      </c>
      <c r="F195" s="176" t="s">
        <v>360</v>
      </c>
      <c r="G195" s="7" t="str">
        <f t="shared" si="2"/>
        <v>ALN118-B-4-FL</v>
      </c>
      <c r="H195" s="68" t="str">
        <f t="shared" si="4"/>
        <v>ألين - 118</v>
      </c>
      <c r="I195" s="174" t="s">
        <v>303</v>
      </c>
      <c r="J195" s="51" t="s">
        <v>295</v>
      </c>
      <c r="K195" s="173">
        <v>154.0</v>
      </c>
      <c r="L195" s="7">
        <v>2279000.0</v>
      </c>
      <c r="M195" s="178" t="s">
        <v>322</v>
      </c>
      <c r="N195" s="57"/>
      <c r="O195" s="57"/>
      <c r="P195" s="80"/>
      <c r="Q195" s="80"/>
      <c r="R195" s="80"/>
      <c r="S195" s="80"/>
      <c r="T195" s="80"/>
      <c r="U195" s="80"/>
      <c r="V195" s="181">
        <v>46019.0</v>
      </c>
      <c r="W195" s="80"/>
      <c r="X195" s="80"/>
      <c r="Y195" s="60"/>
      <c r="Z195" s="60"/>
      <c r="AA195" s="68" t="s">
        <v>132</v>
      </c>
      <c r="AB195" s="130"/>
      <c r="AC195" s="72" t="s">
        <v>200</v>
      </c>
      <c r="AD195" s="130"/>
    </row>
    <row r="196">
      <c r="A196" s="56">
        <v>26.0</v>
      </c>
      <c r="B196" s="56" t="str">
        <f t="shared" si="3"/>
        <v>ALN118</v>
      </c>
      <c r="C196" s="68" t="s">
        <v>118</v>
      </c>
      <c r="D196" s="46">
        <v>118.0</v>
      </c>
      <c r="E196" s="174">
        <v>4.0</v>
      </c>
      <c r="F196" s="176" t="s">
        <v>360</v>
      </c>
      <c r="G196" s="7" t="str">
        <f t="shared" si="2"/>
        <v>ALN118-C-4-FL</v>
      </c>
      <c r="H196" s="68" t="str">
        <f t="shared" si="4"/>
        <v>ألين - 118</v>
      </c>
      <c r="I196" s="174" t="s">
        <v>317</v>
      </c>
      <c r="J196" s="51" t="s">
        <v>295</v>
      </c>
      <c r="K196" s="173">
        <v>118.0</v>
      </c>
      <c r="L196" s="7">
        <v>1949000.0</v>
      </c>
      <c r="M196" s="178" t="s">
        <v>322</v>
      </c>
      <c r="N196" s="57"/>
      <c r="O196" s="57"/>
      <c r="P196" s="80"/>
      <c r="Q196" s="80"/>
      <c r="R196" s="80"/>
      <c r="S196" s="80"/>
      <c r="T196" s="80"/>
      <c r="U196" s="80"/>
      <c r="V196" s="181">
        <v>46019.0</v>
      </c>
      <c r="W196" s="80"/>
      <c r="X196" s="80"/>
      <c r="Y196" s="60"/>
      <c r="Z196" s="60"/>
      <c r="AA196" s="68" t="s">
        <v>132</v>
      </c>
      <c r="AB196" s="130"/>
      <c r="AC196" s="72" t="s">
        <v>200</v>
      </c>
      <c r="AD196" s="130"/>
    </row>
    <row r="197">
      <c r="A197" s="56">
        <v>26.0</v>
      </c>
      <c r="B197" s="56" t="str">
        <f t="shared" si="3"/>
        <v>ALN118</v>
      </c>
      <c r="C197" s="68" t="s">
        <v>118</v>
      </c>
      <c r="D197" s="46">
        <v>118.0</v>
      </c>
      <c r="E197" s="174">
        <v>6.0</v>
      </c>
      <c r="F197" s="176" t="s">
        <v>360</v>
      </c>
      <c r="G197" s="7" t="str">
        <f t="shared" si="2"/>
        <v>ALN118-B-6-FL</v>
      </c>
      <c r="H197" s="68" t="str">
        <f t="shared" si="4"/>
        <v>ألين - 118</v>
      </c>
      <c r="I197" s="174" t="s">
        <v>303</v>
      </c>
      <c r="J197" s="51" t="s">
        <v>295</v>
      </c>
      <c r="K197" s="173">
        <v>177.0</v>
      </c>
      <c r="L197" s="7">
        <v>2649000.0</v>
      </c>
      <c r="M197" s="178" t="s">
        <v>322</v>
      </c>
      <c r="N197" s="57"/>
      <c r="O197" s="57"/>
      <c r="P197" s="80"/>
      <c r="Q197" s="80"/>
      <c r="R197" s="80"/>
      <c r="S197" s="80"/>
      <c r="T197" s="80"/>
      <c r="U197" s="80"/>
      <c r="V197" s="181">
        <v>46019.0</v>
      </c>
      <c r="W197" s="80"/>
      <c r="X197" s="80"/>
      <c r="Y197" s="60"/>
      <c r="Z197" s="60"/>
      <c r="AA197" s="68" t="s">
        <v>132</v>
      </c>
      <c r="AB197" s="130"/>
      <c r="AC197" s="72" t="s">
        <v>200</v>
      </c>
      <c r="AD197" s="130"/>
    </row>
    <row r="198">
      <c r="A198" s="56">
        <v>26.0</v>
      </c>
      <c r="B198" s="56" t="str">
        <f t="shared" si="3"/>
        <v>ALN118</v>
      </c>
      <c r="C198" s="68" t="s">
        <v>118</v>
      </c>
      <c r="D198" s="46">
        <v>118.0</v>
      </c>
      <c r="E198" s="174">
        <v>6.0</v>
      </c>
      <c r="F198" s="176" t="s">
        <v>360</v>
      </c>
      <c r="G198" s="7" t="str">
        <f t="shared" si="2"/>
        <v>ALN118-C-6-FL</v>
      </c>
      <c r="H198" s="68" t="str">
        <f t="shared" si="4"/>
        <v>ألين - 118</v>
      </c>
      <c r="I198" s="174" t="s">
        <v>317</v>
      </c>
      <c r="J198" s="51" t="s">
        <v>295</v>
      </c>
      <c r="K198" s="173">
        <v>128.0</v>
      </c>
      <c r="L198" s="7">
        <v>2119000.0</v>
      </c>
      <c r="M198" s="178" t="s">
        <v>322</v>
      </c>
      <c r="N198" s="57"/>
      <c r="O198" s="57"/>
      <c r="P198" s="80"/>
      <c r="Q198" s="80"/>
      <c r="R198" s="80"/>
      <c r="S198" s="80"/>
      <c r="T198" s="80"/>
      <c r="U198" s="80"/>
      <c r="V198" s="181">
        <v>46019.0</v>
      </c>
      <c r="W198" s="80"/>
      <c r="X198" s="80"/>
      <c r="Y198" s="60"/>
      <c r="Z198" s="60"/>
      <c r="AA198" s="68" t="s">
        <v>132</v>
      </c>
      <c r="AB198" s="130"/>
      <c r="AC198" s="72" t="s">
        <v>200</v>
      </c>
      <c r="AD198" s="130"/>
    </row>
    <row r="199">
      <c r="A199" s="56">
        <v>26.0</v>
      </c>
      <c r="B199" s="56" t="str">
        <f t="shared" si="3"/>
        <v>ALN118</v>
      </c>
      <c r="C199" s="68" t="s">
        <v>118</v>
      </c>
      <c r="D199" s="46">
        <v>118.0</v>
      </c>
      <c r="E199" s="174">
        <v>7.0</v>
      </c>
      <c r="F199" s="176" t="s">
        <v>360</v>
      </c>
      <c r="G199" s="7" t="str">
        <f t="shared" si="2"/>
        <v>ALN118-B-7-FL</v>
      </c>
      <c r="H199" s="68" t="str">
        <f t="shared" si="4"/>
        <v>ألين - 118</v>
      </c>
      <c r="I199" s="174" t="s">
        <v>303</v>
      </c>
      <c r="J199" s="51" t="s">
        <v>295</v>
      </c>
      <c r="K199" s="173">
        <v>177.0</v>
      </c>
      <c r="L199" s="7">
        <v>2649000.0</v>
      </c>
      <c r="M199" s="178" t="s">
        <v>322</v>
      </c>
      <c r="N199" s="57"/>
      <c r="O199" s="57"/>
      <c r="P199" s="80"/>
      <c r="Q199" s="80"/>
      <c r="R199" s="80"/>
      <c r="S199" s="80"/>
      <c r="T199" s="80"/>
      <c r="U199" s="80"/>
      <c r="V199" s="181">
        <v>46019.0</v>
      </c>
      <c r="W199" s="80"/>
      <c r="X199" s="80"/>
      <c r="Y199" s="60"/>
      <c r="Z199" s="60"/>
      <c r="AA199" s="68" t="s">
        <v>132</v>
      </c>
      <c r="AB199" s="130"/>
      <c r="AC199" s="72" t="s">
        <v>200</v>
      </c>
      <c r="AD199" s="130"/>
    </row>
    <row r="200">
      <c r="A200" s="56">
        <v>26.0</v>
      </c>
      <c r="B200" s="56" t="str">
        <f t="shared" si="3"/>
        <v>ALN118</v>
      </c>
      <c r="C200" s="68" t="s">
        <v>118</v>
      </c>
      <c r="D200" s="46">
        <v>118.0</v>
      </c>
      <c r="E200" s="174">
        <v>7.0</v>
      </c>
      <c r="F200" s="176" t="s">
        <v>360</v>
      </c>
      <c r="G200" s="7" t="str">
        <f t="shared" si="2"/>
        <v>ALN118-C-7-FL</v>
      </c>
      <c r="H200" s="68" t="str">
        <f t="shared" si="4"/>
        <v>ألين - 118</v>
      </c>
      <c r="I200" s="174" t="s">
        <v>317</v>
      </c>
      <c r="J200" s="51" t="s">
        <v>295</v>
      </c>
      <c r="K200" s="173">
        <v>128.0</v>
      </c>
      <c r="L200" s="7">
        <v>2119000.0</v>
      </c>
      <c r="M200" s="178" t="s">
        <v>322</v>
      </c>
      <c r="N200" s="57"/>
      <c r="O200" s="57"/>
      <c r="P200" s="80"/>
      <c r="Q200" s="80"/>
      <c r="R200" s="80"/>
      <c r="S200" s="80"/>
      <c r="T200" s="80"/>
      <c r="U200" s="80"/>
      <c r="V200" s="181">
        <v>46019.0</v>
      </c>
      <c r="W200" s="80"/>
      <c r="X200" s="80"/>
      <c r="Y200" s="60"/>
      <c r="Z200" s="60"/>
      <c r="AA200" s="68" t="s">
        <v>132</v>
      </c>
      <c r="AB200" s="130"/>
      <c r="AC200" s="72" t="s">
        <v>200</v>
      </c>
      <c r="AD200" s="130"/>
    </row>
    <row r="201">
      <c r="A201" s="56">
        <v>26.0</v>
      </c>
      <c r="B201" s="56" t="str">
        <f t="shared" si="3"/>
        <v>ALN118</v>
      </c>
      <c r="C201" s="68" t="s">
        <v>118</v>
      </c>
      <c r="D201" s="46">
        <v>118.0</v>
      </c>
      <c r="E201" s="174">
        <v>8.0</v>
      </c>
      <c r="F201" s="176" t="s">
        <v>360</v>
      </c>
      <c r="G201" s="7" t="str">
        <f t="shared" si="2"/>
        <v>ALN118-B-8-FL</v>
      </c>
      <c r="H201" s="68" t="str">
        <f t="shared" si="4"/>
        <v>ألين - 118</v>
      </c>
      <c r="I201" s="174" t="s">
        <v>303</v>
      </c>
      <c r="J201" s="51" t="s">
        <v>295</v>
      </c>
      <c r="K201" s="173">
        <v>138.0</v>
      </c>
      <c r="L201" s="7">
        <v>2089000.0</v>
      </c>
      <c r="M201" s="178" t="s">
        <v>322</v>
      </c>
      <c r="N201" s="57"/>
      <c r="O201" s="57"/>
      <c r="P201" s="80"/>
      <c r="Q201" s="80"/>
      <c r="R201" s="80"/>
      <c r="S201" s="80"/>
      <c r="T201" s="80"/>
      <c r="U201" s="80"/>
      <c r="V201" s="181">
        <v>46019.0</v>
      </c>
      <c r="W201" s="80"/>
      <c r="X201" s="80"/>
      <c r="Y201" s="60"/>
      <c r="Z201" s="60"/>
      <c r="AA201" s="68" t="s">
        <v>132</v>
      </c>
      <c r="AB201" s="130"/>
      <c r="AC201" s="72" t="s">
        <v>200</v>
      </c>
      <c r="AD201" s="130"/>
    </row>
    <row r="202">
      <c r="A202" s="56">
        <v>26.0</v>
      </c>
      <c r="B202" s="56" t="str">
        <f t="shared" si="3"/>
        <v>ALN118</v>
      </c>
      <c r="C202" s="68" t="s">
        <v>118</v>
      </c>
      <c r="D202" s="46">
        <v>118.0</v>
      </c>
      <c r="E202" s="174">
        <v>8.0</v>
      </c>
      <c r="F202" s="176" t="s">
        <v>360</v>
      </c>
      <c r="G202" s="7" t="str">
        <f t="shared" si="2"/>
        <v>ALN118-C-8-FL</v>
      </c>
      <c r="H202" s="68" t="str">
        <f t="shared" si="4"/>
        <v>ألين - 118</v>
      </c>
      <c r="I202" s="174" t="s">
        <v>317</v>
      </c>
      <c r="J202" s="51" t="s">
        <v>295</v>
      </c>
      <c r="K202" s="173">
        <v>104.0</v>
      </c>
      <c r="L202" s="7">
        <v>1799000.0</v>
      </c>
      <c r="M202" s="178" t="s">
        <v>322</v>
      </c>
      <c r="N202" s="57"/>
      <c r="O202" s="57"/>
      <c r="P202" s="80"/>
      <c r="Q202" s="80"/>
      <c r="R202" s="80"/>
      <c r="S202" s="80"/>
      <c r="T202" s="80"/>
      <c r="U202" s="80"/>
      <c r="V202" s="181">
        <v>46019.0</v>
      </c>
      <c r="W202" s="80"/>
      <c r="X202" s="80"/>
      <c r="Y202" s="60"/>
      <c r="Z202" s="60"/>
      <c r="AA202" s="68" t="s">
        <v>132</v>
      </c>
      <c r="AB202" s="130"/>
      <c r="AC202" s="72" t="s">
        <v>200</v>
      </c>
      <c r="AD202" s="130"/>
    </row>
    <row r="203">
      <c r="A203" s="56">
        <v>26.0</v>
      </c>
      <c r="B203" s="56" t="str">
        <f t="shared" si="3"/>
        <v>ALN118</v>
      </c>
      <c r="C203" s="68" t="s">
        <v>118</v>
      </c>
      <c r="D203" s="46">
        <v>118.0</v>
      </c>
      <c r="E203" s="174">
        <v>9.0</v>
      </c>
      <c r="F203" s="176" t="s">
        <v>360</v>
      </c>
      <c r="G203" s="7" t="str">
        <f t="shared" si="2"/>
        <v>ALN118-B-9-FL</v>
      </c>
      <c r="H203" s="68" t="str">
        <f t="shared" si="4"/>
        <v>ألين - 118</v>
      </c>
      <c r="I203" s="174" t="s">
        <v>303</v>
      </c>
      <c r="J203" s="51" t="s">
        <v>295</v>
      </c>
      <c r="K203" s="173">
        <v>157.0</v>
      </c>
      <c r="L203" s="7">
        <v>2359000.0</v>
      </c>
      <c r="M203" s="178" t="s">
        <v>322</v>
      </c>
      <c r="N203" s="57"/>
      <c r="O203" s="57"/>
      <c r="P203" s="80"/>
      <c r="Q203" s="80"/>
      <c r="R203" s="80"/>
      <c r="S203" s="80"/>
      <c r="T203" s="80"/>
      <c r="U203" s="80"/>
      <c r="V203" s="181">
        <v>46019.0</v>
      </c>
      <c r="W203" s="80"/>
      <c r="X203" s="80"/>
      <c r="Y203" s="60"/>
      <c r="Z203" s="60"/>
      <c r="AA203" s="68" t="s">
        <v>132</v>
      </c>
      <c r="AB203" s="130"/>
      <c r="AC203" s="72" t="s">
        <v>200</v>
      </c>
      <c r="AD203" s="130"/>
    </row>
    <row r="204">
      <c r="A204" s="56">
        <v>26.0</v>
      </c>
      <c r="B204" s="56" t="str">
        <f t="shared" si="3"/>
        <v>ALN118</v>
      </c>
      <c r="C204" s="68" t="s">
        <v>118</v>
      </c>
      <c r="D204" s="46">
        <v>118.0</v>
      </c>
      <c r="E204" s="174">
        <v>9.0</v>
      </c>
      <c r="F204" s="176" t="s">
        <v>360</v>
      </c>
      <c r="G204" s="7" t="str">
        <f t="shared" si="2"/>
        <v>ALN118-C-9-FL</v>
      </c>
      <c r="H204" s="68" t="str">
        <f t="shared" si="4"/>
        <v>ألين - 118</v>
      </c>
      <c r="I204" s="174" t="s">
        <v>317</v>
      </c>
      <c r="J204" s="51" t="s">
        <v>295</v>
      </c>
      <c r="K204" s="173">
        <v>125.0</v>
      </c>
      <c r="L204" s="7">
        <v>1999000.0</v>
      </c>
      <c r="M204" s="178" t="s">
        <v>322</v>
      </c>
      <c r="N204" s="57"/>
      <c r="O204" s="57"/>
      <c r="P204" s="80"/>
      <c r="Q204" s="80"/>
      <c r="R204" s="80"/>
      <c r="S204" s="80"/>
      <c r="T204" s="80"/>
      <c r="U204" s="80"/>
      <c r="V204" s="181">
        <v>46019.0</v>
      </c>
      <c r="W204" s="80"/>
      <c r="X204" s="80"/>
      <c r="Y204" s="60"/>
      <c r="Z204" s="60"/>
      <c r="AA204" s="68" t="s">
        <v>132</v>
      </c>
      <c r="AB204" s="130"/>
      <c r="AC204" s="72" t="s">
        <v>200</v>
      </c>
      <c r="AD204" s="130"/>
    </row>
    <row r="205">
      <c r="A205" s="56">
        <v>26.0</v>
      </c>
      <c r="B205" s="56" t="str">
        <f t="shared" si="3"/>
        <v>ALN118</v>
      </c>
      <c r="C205" s="68" t="s">
        <v>118</v>
      </c>
      <c r="D205" s="46">
        <v>118.0</v>
      </c>
      <c r="E205" s="174">
        <v>10.0</v>
      </c>
      <c r="F205" s="176" t="s">
        <v>360</v>
      </c>
      <c r="G205" s="7" t="str">
        <f t="shared" si="2"/>
        <v>ALN118-B-10-FL</v>
      </c>
      <c r="H205" s="68" t="str">
        <f t="shared" si="4"/>
        <v>ألين - 118</v>
      </c>
      <c r="I205" s="174" t="s">
        <v>303</v>
      </c>
      <c r="J205" s="51" t="s">
        <v>295</v>
      </c>
      <c r="K205" s="173">
        <v>176.0</v>
      </c>
      <c r="L205" s="7">
        <v>2629000.0</v>
      </c>
      <c r="M205" s="178" t="s">
        <v>322</v>
      </c>
      <c r="N205" s="57"/>
      <c r="O205" s="57"/>
      <c r="P205" s="80"/>
      <c r="Q205" s="80"/>
      <c r="R205" s="80"/>
      <c r="S205" s="80"/>
      <c r="T205" s="80"/>
      <c r="U205" s="80"/>
      <c r="V205" s="181">
        <v>46019.0</v>
      </c>
      <c r="W205" s="80"/>
      <c r="X205" s="80"/>
      <c r="Y205" s="60"/>
      <c r="Z205" s="60"/>
      <c r="AA205" s="68" t="s">
        <v>132</v>
      </c>
      <c r="AB205" s="130"/>
      <c r="AC205" s="72" t="s">
        <v>200</v>
      </c>
      <c r="AD205" s="130"/>
    </row>
    <row r="206">
      <c r="A206" s="56">
        <v>26.0</v>
      </c>
      <c r="B206" s="56" t="str">
        <f t="shared" si="3"/>
        <v>ALN118</v>
      </c>
      <c r="C206" s="68" t="s">
        <v>118</v>
      </c>
      <c r="D206" s="46">
        <v>118.0</v>
      </c>
      <c r="E206" s="174">
        <v>10.0</v>
      </c>
      <c r="F206" s="176" t="s">
        <v>360</v>
      </c>
      <c r="G206" s="7" t="str">
        <f t="shared" si="2"/>
        <v>ALN118-C-10-FL</v>
      </c>
      <c r="H206" s="68" t="str">
        <f t="shared" si="4"/>
        <v>ألين - 118</v>
      </c>
      <c r="I206" s="174" t="s">
        <v>317</v>
      </c>
      <c r="J206" s="51" t="s">
        <v>295</v>
      </c>
      <c r="K206" s="173">
        <v>132.0</v>
      </c>
      <c r="L206" s="7">
        <v>2139000.0</v>
      </c>
      <c r="M206" s="178" t="s">
        <v>322</v>
      </c>
      <c r="N206" s="57"/>
      <c r="O206" s="57"/>
      <c r="P206" s="80"/>
      <c r="Q206" s="80"/>
      <c r="R206" s="80"/>
      <c r="S206" s="80"/>
      <c r="T206" s="80"/>
      <c r="U206" s="80"/>
      <c r="V206" s="181">
        <v>46019.0</v>
      </c>
      <c r="W206" s="80"/>
      <c r="X206" s="80"/>
      <c r="Y206" s="60"/>
      <c r="Z206" s="60"/>
      <c r="AA206" s="68" t="s">
        <v>132</v>
      </c>
      <c r="AB206" s="130"/>
      <c r="AC206" s="72" t="s">
        <v>200</v>
      </c>
      <c r="AD206" s="130"/>
    </row>
    <row r="207">
      <c r="A207" s="56">
        <v>26.0</v>
      </c>
      <c r="B207" s="56" t="str">
        <f t="shared" si="3"/>
        <v>ALN118</v>
      </c>
      <c r="C207" s="68" t="s">
        <v>118</v>
      </c>
      <c r="D207" s="46">
        <v>118.0</v>
      </c>
      <c r="E207" s="174">
        <v>11.0</v>
      </c>
      <c r="F207" s="176" t="s">
        <v>360</v>
      </c>
      <c r="G207" s="7" t="str">
        <f t="shared" si="2"/>
        <v>ALN118-B-11-FL</v>
      </c>
      <c r="H207" s="68" t="str">
        <f t="shared" si="4"/>
        <v>ألين - 118</v>
      </c>
      <c r="I207" s="174" t="s">
        <v>303</v>
      </c>
      <c r="J207" s="51" t="s">
        <v>295</v>
      </c>
      <c r="K207" s="173">
        <v>157.0</v>
      </c>
      <c r="L207" s="7">
        <v>2359000.0</v>
      </c>
      <c r="M207" s="178" t="s">
        <v>322</v>
      </c>
      <c r="N207" s="57"/>
      <c r="O207" s="57"/>
      <c r="P207" s="80"/>
      <c r="Q207" s="80"/>
      <c r="R207" s="80"/>
      <c r="S207" s="80"/>
      <c r="T207" s="80"/>
      <c r="U207" s="80"/>
      <c r="V207" s="181">
        <v>46019.0</v>
      </c>
      <c r="W207" s="80"/>
      <c r="X207" s="80"/>
      <c r="Y207" s="60"/>
      <c r="Z207" s="60"/>
      <c r="AA207" s="68" t="s">
        <v>132</v>
      </c>
      <c r="AB207" s="130"/>
      <c r="AC207" s="72" t="s">
        <v>200</v>
      </c>
      <c r="AD207" s="130"/>
    </row>
    <row r="208">
      <c r="A208" s="56">
        <v>26.0</v>
      </c>
      <c r="B208" s="56" t="str">
        <f t="shared" si="3"/>
        <v>ALN118</v>
      </c>
      <c r="C208" s="68" t="s">
        <v>118</v>
      </c>
      <c r="D208" s="46">
        <v>118.0</v>
      </c>
      <c r="E208" s="174">
        <v>11.0</v>
      </c>
      <c r="F208" s="176" t="s">
        <v>360</v>
      </c>
      <c r="G208" s="7" t="str">
        <f t="shared" si="2"/>
        <v>ALN118-C-11-FL</v>
      </c>
      <c r="H208" s="68" t="str">
        <f t="shared" si="4"/>
        <v>ألين - 118</v>
      </c>
      <c r="I208" s="174" t="s">
        <v>317</v>
      </c>
      <c r="J208" s="51" t="s">
        <v>295</v>
      </c>
      <c r="K208" s="173">
        <v>125.0</v>
      </c>
      <c r="L208" s="7">
        <v>1999000.0</v>
      </c>
      <c r="M208" s="178" t="s">
        <v>322</v>
      </c>
      <c r="N208" s="57"/>
      <c r="O208" s="57"/>
      <c r="P208" s="80"/>
      <c r="Q208" s="80"/>
      <c r="R208" s="80"/>
      <c r="S208" s="80"/>
      <c r="T208" s="80"/>
      <c r="U208" s="80"/>
      <c r="V208" s="181">
        <v>46019.0</v>
      </c>
      <c r="W208" s="80"/>
      <c r="X208" s="80"/>
      <c r="Y208" s="60"/>
      <c r="Z208" s="60"/>
      <c r="AA208" s="68" t="s">
        <v>132</v>
      </c>
      <c r="AB208" s="130"/>
      <c r="AC208" s="72" t="s">
        <v>200</v>
      </c>
      <c r="AD208" s="130"/>
    </row>
    <row r="209">
      <c r="A209" s="56">
        <v>27.0</v>
      </c>
      <c r="B209" s="56" t="str">
        <f t="shared" si="3"/>
        <v>ALN124</v>
      </c>
      <c r="C209" s="68" t="s">
        <v>118</v>
      </c>
      <c r="D209" s="46">
        <v>124.0</v>
      </c>
      <c r="E209" s="174">
        <v>1.0</v>
      </c>
      <c r="F209" s="176" t="s">
        <v>360</v>
      </c>
      <c r="G209" s="7" t="str">
        <f t="shared" si="2"/>
        <v>ALN124-A-1-FL</v>
      </c>
      <c r="H209" s="68" t="str">
        <f t="shared" si="4"/>
        <v>ألين - 124</v>
      </c>
      <c r="I209" s="174" t="s">
        <v>294</v>
      </c>
      <c r="J209" s="51" t="s">
        <v>295</v>
      </c>
      <c r="K209" s="173">
        <v>162.0</v>
      </c>
      <c r="L209" s="7">
        <v>1999000.0</v>
      </c>
      <c r="M209" s="178" t="s">
        <v>322</v>
      </c>
      <c r="N209" s="57"/>
      <c r="O209" s="57"/>
      <c r="P209" s="80"/>
      <c r="Q209" s="80"/>
      <c r="R209" s="80"/>
      <c r="S209" s="80"/>
      <c r="T209" s="80"/>
      <c r="U209" s="80"/>
      <c r="V209" s="181">
        <v>46021.0</v>
      </c>
      <c r="W209" s="80"/>
      <c r="X209" s="180" t="s">
        <v>202</v>
      </c>
      <c r="Y209" s="60"/>
      <c r="Z209" s="60"/>
      <c r="AA209" s="68" t="s">
        <v>203</v>
      </c>
      <c r="AB209" s="130"/>
      <c r="AC209" s="72" t="s">
        <v>204</v>
      </c>
      <c r="AD209" s="130"/>
    </row>
    <row r="210">
      <c r="A210" s="56">
        <v>27.0</v>
      </c>
      <c r="B210" s="56" t="str">
        <f t="shared" si="3"/>
        <v>ALN124</v>
      </c>
      <c r="C210" s="68" t="s">
        <v>118</v>
      </c>
      <c r="D210" s="46">
        <v>124.0</v>
      </c>
      <c r="E210" s="174">
        <v>2.0</v>
      </c>
      <c r="F210" s="176" t="s">
        <v>360</v>
      </c>
      <c r="G210" s="7" t="str">
        <f t="shared" si="2"/>
        <v>ALN124-A-2-FL</v>
      </c>
      <c r="H210" s="68" t="str">
        <f t="shared" si="4"/>
        <v>ألين - 124</v>
      </c>
      <c r="I210" s="174" t="s">
        <v>294</v>
      </c>
      <c r="J210" s="51" t="s">
        <v>295</v>
      </c>
      <c r="K210" s="173">
        <v>162.0</v>
      </c>
      <c r="L210" s="7">
        <v>1999000.0</v>
      </c>
      <c r="M210" s="178" t="s">
        <v>322</v>
      </c>
      <c r="N210" s="57"/>
      <c r="O210" s="57"/>
      <c r="P210" s="80"/>
      <c r="Q210" s="80"/>
      <c r="R210" s="80"/>
      <c r="S210" s="80"/>
      <c r="T210" s="80"/>
      <c r="U210" s="80"/>
      <c r="V210" s="181">
        <v>46021.0</v>
      </c>
      <c r="W210" s="80"/>
      <c r="X210" s="80"/>
      <c r="Y210" s="60"/>
      <c r="Z210" s="60"/>
      <c r="AA210" s="68" t="s">
        <v>203</v>
      </c>
      <c r="AB210" s="130"/>
      <c r="AC210" s="72" t="s">
        <v>204</v>
      </c>
      <c r="AD210" s="130"/>
    </row>
    <row r="211">
      <c r="A211" s="56">
        <v>27.0</v>
      </c>
      <c r="B211" s="56" t="str">
        <f t="shared" si="3"/>
        <v>ALN124</v>
      </c>
      <c r="C211" s="68" t="s">
        <v>118</v>
      </c>
      <c r="D211" s="46">
        <v>124.0</v>
      </c>
      <c r="E211" s="174">
        <v>2.0</v>
      </c>
      <c r="F211" s="176" t="s">
        <v>360</v>
      </c>
      <c r="G211" s="7" t="str">
        <f t="shared" si="2"/>
        <v>ALN124-B-2-FL</v>
      </c>
      <c r="H211" s="68" t="str">
        <f t="shared" si="4"/>
        <v>ألين - 124</v>
      </c>
      <c r="I211" s="174" t="s">
        <v>303</v>
      </c>
      <c r="J211" s="51" t="s">
        <v>295</v>
      </c>
      <c r="K211" s="173">
        <v>149.0</v>
      </c>
      <c r="L211" s="7">
        <v>1749000.0</v>
      </c>
      <c r="M211" s="178" t="s">
        <v>322</v>
      </c>
      <c r="N211" s="57"/>
      <c r="O211" s="57"/>
      <c r="P211" s="80"/>
      <c r="Q211" s="80"/>
      <c r="R211" s="80"/>
      <c r="S211" s="80"/>
      <c r="T211" s="80"/>
      <c r="U211" s="80"/>
      <c r="V211" s="181">
        <v>46021.0</v>
      </c>
      <c r="W211" s="80"/>
      <c r="X211" s="80"/>
      <c r="Y211" s="60"/>
      <c r="Z211" s="60"/>
      <c r="AA211" s="68" t="s">
        <v>203</v>
      </c>
      <c r="AB211" s="130"/>
      <c r="AC211" s="72" t="s">
        <v>204</v>
      </c>
      <c r="AD211" s="130"/>
    </row>
    <row r="212">
      <c r="A212" s="56">
        <v>27.0</v>
      </c>
      <c r="B212" s="56" t="str">
        <f t="shared" si="3"/>
        <v>ALN124</v>
      </c>
      <c r="C212" s="68" t="s">
        <v>118</v>
      </c>
      <c r="D212" s="180">
        <v>124.0</v>
      </c>
      <c r="E212" s="174">
        <v>3.0</v>
      </c>
      <c r="F212" s="176" t="s">
        <v>360</v>
      </c>
      <c r="G212" s="7" t="str">
        <f t="shared" si="2"/>
        <v>ALN124-A-3-FL</v>
      </c>
      <c r="H212" s="68" t="str">
        <f t="shared" si="4"/>
        <v>ألين - 124</v>
      </c>
      <c r="I212" s="174" t="s">
        <v>294</v>
      </c>
      <c r="J212" s="51" t="s">
        <v>295</v>
      </c>
      <c r="K212" s="173">
        <v>162.0</v>
      </c>
      <c r="L212" s="7">
        <v>1999000.0</v>
      </c>
      <c r="M212" s="178" t="s">
        <v>322</v>
      </c>
      <c r="N212" s="80"/>
      <c r="O212" s="80"/>
      <c r="P212" s="80"/>
      <c r="Q212" s="80"/>
      <c r="R212" s="80"/>
      <c r="S212" s="80"/>
      <c r="T212" s="80"/>
      <c r="U212" s="80"/>
      <c r="V212" s="181">
        <v>46022.0</v>
      </c>
      <c r="W212" s="80"/>
      <c r="X212" s="80"/>
      <c r="Y212" s="60"/>
      <c r="Z212" s="60"/>
      <c r="AA212" s="68" t="s">
        <v>203</v>
      </c>
      <c r="AB212" s="130"/>
      <c r="AC212" s="72" t="s">
        <v>204</v>
      </c>
      <c r="AD212" s="130"/>
    </row>
    <row r="213">
      <c r="A213" s="56">
        <v>28.0</v>
      </c>
      <c r="B213" s="56" t="str">
        <f t="shared" si="3"/>
        <v>ALN128</v>
      </c>
      <c r="C213" s="68" t="s">
        <v>118</v>
      </c>
      <c r="D213" s="180">
        <v>128.0</v>
      </c>
      <c r="E213" s="174">
        <v>1.0</v>
      </c>
      <c r="F213" s="176" t="s">
        <v>360</v>
      </c>
      <c r="G213" s="7" t="str">
        <f t="shared" si="2"/>
        <v>ALN128-A-1-FL</v>
      </c>
      <c r="H213" s="68" t="str">
        <f t="shared" si="4"/>
        <v>ألين - 128</v>
      </c>
      <c r="I213" s="174" t="s">
        <v>294</v>
      </c>
      <c r="J213" s="51" t="s">
        <v>295</v>
      </c>
      <c r="K213" s="173">
        <v>163.0</v>
      </c>
      <c r="L213" s="7">
        <v>1699000.0</v>
      </c>
      <c r="M213" s="178" t="s">
        <v>322</v>
      </c>
      <c r="N213" s="180">
        <v>3.0</v>
      </c>
      <c r="O213" s="180">
        <v>3.0</v>
      </c>
      <c r="P213" s="80"/>
      <c r="Q213" s="80"/>
      <c r="R213" s="80"/>
      <c r="S213" s="80"/>
      <c r="T213" s="80"/>
      <c r="U213" s="80"/>
      <c r="V213" s="181">
        <v>46023.0</v>
      </c>
      <c r="W213" s="80"/>
      <c r="X213" s="180" t="s">
        <v>206</v>
      </c>
      <c r="Y213" s="60"/>
      <c r="Z213" s="60"/>
      <c r="AA213" s="68" t="s">
        <v>207</v>
      </c>
      <c r="AB213" s="130"/>
      <c r="AC213" s="72" t="s">
        <v>208</v>
      </c>
      <c r="AD213" s="130"/>
    </row>
    <row r="214">
      <c r="A214" s="56">
        <v>28.0</v>
      </c>
      <c r="B214" s="56" t="str">
        <f t="shared" si="3"/>
        <v>ALN128</v>
      </c>
      <c r="C214" s="68" t="s">
        <v>118</v>
      </c>
      <c r="D214" s="180">
        <v>128.0</v>
      </c>
      <c r="E214" s="174">
        <v>1.0</v>
      </c>
      <c r="F214" s="176" t="s">
        <v>360</v>
      </c>
      <c r="G214" s="7" t="str">
        <f t="shared" si="2"/>
        <v>ALN128-B-1-FL</v>
      </c>
      <c r="H214" s="68" t="str">
        <f t="shared" si="4"/>
        <v>ألين - 128</v>
      </c>
      <c r="I214" s="174" t="s">
        <v>303</v>
      </c>
      <c r="J214" s="51" t="s">
        <v>295</v>
      </c>
      <c r="K214" s="173">
        <v>166.0</v>
      </c>
      <c r="L214" s="7">
        <v>1499000.0</v>
      </c>
      <c r="M214" s="178" t="s">
        <v>322</v>
      </c>
      <c r="N214" s="180">
        <v>3.0</v>
      </c>
      <c r="O214" s="180">
        <v>3.0</v>
      </c>
      <c r="P214" s="80"/>
      <c r="Q214" s="80"/>
      <c r="R214" s="80"/>
      <c r="S214" s="80"/>
      <c r="T214" s="80"/>
      <c r="U214" s="80"/>
      <c r="V214" s="181">
        <v>46024.0</v>
      </c>
      <c r="W214" s="80"/>
      <c r="X214" s="80"/>
      <c r="Y214" s="60"/>
      <c r="Z214" s="60"/>
      <c r="AA214" s="68" t="s">
        <v>207</v>
      </c>
      <c r="AB214" s="130"/>
      <c r="AC214" s="72" t="s">
        <v>208</v>
      </c>
      <c r="AD214" s="130"/>
    </row>
    <row r="215">
      <c r="A215" s="56">
        <v>28.0</v>
      </c>
      <c r="B215" s="56" t="str">
        <f t="shared" si="3"/>
        <v>ALN128</v>
      </c>
      <c r="C215" s="68" t="s">
        <v>118</v>
      </c>
      <c r="D215" s="180">
        <v>128.0</v>
      </c>
      <c r="E215" s="174">
        <v>1.0</v>
      </c>
      <c r="F215" s="176" t="s">
        <v>360</v>
      </c>
      <c r="G215" s="7" t="str">
        <f t="shared" si="2"/>
        <v>ALN128-C-1-FL</v>
      </c>
      <c r="H215" s="68" t="str">
        <f t="shared" si="4"/>
        <v>ألين - 128</v>
      </c>
      <c r="I215" s="174" t="s">
        <v>317</v>
      </c>
      <c r="J215" s="51" t="s">
        <v>295</v>
      </c>
      <c r="K215" s="173">
        <v>77.0</v>
      </c>
      <c r="L215" s="7">
        <v>999000.0</v>
      </c>
      <c r="M215" s="178" t="s">
        <v>322</v>
      </c>
      <c r="N215" s="180">
        <v>3.0</v>
      </c>
      <c r="O215" s="180">
        <v>3.0</v>
      </c>
      <c r="P215" s="80"/>
      <c r="Q215" s="80"/>
      <c r="R215" s="80"/>
      <c r="S215" s="80"/>
      <c r="T215" s="80"/>
      <c r="U215" s="80"/>
      <c r="V215" s="181">
        <v>46025.0</v>
      </c>
      <c r="W215" s="80"/>
      <c r="X215" s="80"/>
      <c r="Y215" s="60"/>
      <c r="Z215" s="60"/>
      <c r="AA215" s="68" t="s">
        <v>207</v>
      </c>
      <c r="AB215" s="130"/>
      <c r="AC215" s="72" t="s">
        <v>208</v>
      </c>
      <c r="AD215" s="130"/>
    </row>
    <row r="216">
      <c r="A216" s="56">
        <v>28.0</v>
      </c>
      <c r="B216" s="56" t="str">
        <f t="shared" si="3"/>
        <v>ALN128</v>
      </c>
      <c r="C216" s="68" t="s">
        <v>118</v>
      </c>
      <c r="D216" s="180">
        <v>128.0</v>
      </c>
      <c r="E216" s="174">
        <v>2.0</v>
      </c>
      <c r="F216" s="176" t="s">
        <v>360</v>
      </c>
      <c r="G216" s="7" t="str">
        <f t="shared" si="2"/>
        <v>ALN128-A-2-FL</v>
      </c>
      <c r="H216" s="68" t="str">
        <f t="shared" si="4"/>
        <v>ألين - 128</v>
      </c>
      <c r="I216" s="174" t="s">
        <v>294</v>
      </c>
      <c r="J216" s="51" t="s">
        <v>295</v>
      </c>
      <c r="K216" s="173">
        <v>163.0</v>
      </c>
      <c r="L216" s="7">
        <v>1699000.0</v>
      </c>
      <c r="M216" s="178" t="s">
        <v>322</v>
      </c>
      <c r="N216" s="180">
        <v>3.0</v>
      </c>
      <c r="O216" s="180">
        <v>3.0</v>
      </c>
      <c r="P216" s="80"/>
      <c r="Q216" s="80"/>
      <c r="R216" s="80"/>
      <c r="S216" s="80"/>
      <c r="T216" s="80"/>
      <c r="U216" s="80"/>
      <c r="V216" s="181">
        <v>46026.0</v>
      </c>
      <c r="W216" s="80"/>
      <c r="X216" s="80"/>
      <c r="Y216" s="60"/>
      <c r="Z216" s="60"/>
      <c r="AA216" s="68" t="s">
        <v>207</v>
      </c>
      <c r="AB216" s="130"/>
      <c r="AC216" s="72" t="s">
        <v>208</v>
      </c>
      <c r="AD216" s="130"/>
    </row>
    <row r="217">
      <c r="A217" s="56">
        <v>28.0</v>
      </c>
      <c r="B217" s="56" t="str">
        <f t="shared" si="3"/>
        <v>ALN128</v>
      </c>
      <c r="C217" s="68" t="s">
        <v>118</v>
      </c>
      <c r="D217" s="180">
        <v>128.0</v>
      </c>
      <c r="E217" s="174">
        <v>2.0</v>
      </c>
      <c r="F217" s="176" t="s">
        <v>360</v>
      </c>
      <c r="G217" s="7" t="str">
        <f t="shared" si="2"/>
        <v>ALN128-B-2-FL</v>
      </c>
      <c r="H217" s="68" t="str">
        <f t="shared" si="4"/>
        <v>ألين - 128</v>
      </c>
      <c r="I217" s="174" t="s">
        <v>303</v>
      </c>
      <c r="J217" s="51" t="s">
        <v>295</v>
      </c>
      <c r="K217" s="173">
        <v>166.0</v>
      </c>
      <c r="L217" s="7">
        <v>1499000.0</v>
      </c>
      <c r="M217" s="178" t="s">
        <v>322</v>
      </c>
      <c r="N217" s="180">
        <v>3.0</v>
      </c>
      <c r="O217" s="180">
        <v>3.0</v>
      </c>
      <c r="P217" s="80"/>
      <c r="Q217" s="80"/>
      <c r="R217" s="80"/>
      <c r="S217" s="80"/>
      <c r="T217" s="80"/>
      <c r="U217" s="80"/>
      <c r="V217" s="181">
        <v>46027.0</v>
      </c>
      <c r="W217" s="80"/>
      <c r="X217" s="80"/>
      <c r="Y217" s="60"/>
      <c r="Z217" s="60"/>
      <c r="AA217" s="68" t="s">
        <v>207</v>
      </c>
      <c r="AB217" s="130"/>
      <c r="AC217" s="72" t="s">
        <v>208</v>
      </c>
      <c r="AD217" s="130"/>
    </row>
    <row r="218">
      <c r="A218" s="56">
        <v>28.0</v>
      </c>
      <c r="B218" s="56" t="str">
        <f t="shared" si="3"/>
        <v>ALN128</v>
      </c>
      <c r="C218" s="68" t="s">
        <v>118</v>
      </c>
      <c r="D218" s="180">
        <v>128.0</v>
      </c>
      <c r="E218" s="174">
        <v>2.0</v>
      </c>
      <c r="F218" s="176" t="s">
        <v>360</v>
      </c>
      <c r="G218" s="7" t="str">
        <f t="shared" si="2"/>
        <v>ALN128-C-2-FL</v>
      </c>
      <c r="H218" s="68" t="str">
        <f t="shared" si="4"/>
        <v>ألين - 128</v>
      </c>
      <c r="I218" s="174" t="s">
        <v>317</v>
      </c>
      <c r="J218" s="51" t="s">
        <v>295</v>
      </c>
      <c r="K218" s="173">
        <v>77.0</v>
      </c>
      <c r="L218" s="7">
        <v>999000.0</v>
      </c>
      <c r="M218" s="178" t="s">
        <v>322</v>
      </c>
      <c r="N218" s="180">
        <v>3.0</v>
      </c>
      <c r="O218" s="180">
        <v>3.0</v>
      </c>
      <c r="P218" s="80"/>
      <c r="Q218" s="80"/>
      <c r="R218" s="80"/>
      <c r="S218" s="80"/>
      <c r="T218" s="80"/>
      <c r="U218" s="80"/>
      <c r="V218" s="181">
        <v>46028.0</v>
      </c>
      <c r="W218" s="80"/>
      <c r="X218" s="80"/>
      <c r="Y218" s="60"/>
      <c r="Z218" s="60"/>
      <c r="AA218" s="68" t="s">
        <v>207</v>
      </c>
      <c r="AB218" s="130"/>
      <c r="AC218" s="72" t="s">
        <v>208</v>
      </c>
      <c r="AD218" s="130"/>
    </row>
    <row r="219">
      <c r="A219" s="56">
        <v>29.0</v>
      </c>
      <c r="B219" s="56" t="str">
        <f t="shared" si="3"/>
        <v>ALN132</v>
      </c>
      <c r="C219" s="68" t="s">
        <v>118</v>
      </c>
      <c r="D219" s="180">
        <v>132.0</v>
      </c>
      <c r="E219" s="174">
        <v>1.0</v>
      </c>
      <c r="F219" s="176" t="s">
        <v>360</v>
      </c>
      <c r="G219" s="7" t="str">
        <f t="shared" si="2"/>
        <v>ALN132-A-1-FL</v>
      </c>
      <c r="H219" s="68" t="str">
        <f t="shared" si="4"/>
        <v>ألين - 132</v>
      </c>
      <c r="I219" s="174" t="s">
        <v>294</v>
      </c>
      <c r="J219" s="51" t="s">
        <v>295</v>
      </c>
      <c r="K219" s="173">
        <v>165.0</v>
      </c>
      <c r="L219" s="7">
        <v>2899000.0</v>
      </c>
      <c r="M219" s="178" t="s">
        <v>322</v>
      </c>
      <c r="N219" s="80"/>
      <c r="O219" s="80"/>
      <c r="P219" s="80"/>
      <c r="Q219" s="80"/>
      <c r="R219" s="80"/>
      <c r="S219" s="80"/>
      <c r="T219" s="80"/>
      <c r="U219" s="80"/>
      <c r="V219" s="181">
        <v>46029.0</v>
      </c>
      <c r="W219" s="80"/>
      <c r="X219" s="180" t="s">
        <v>210</v>
      </c>
      <c r="Y219" s="60"/>
      <c r="Z219" s="60"/>
      <c r="AA219" s="68" t="s">
        <v>180</v>
      </c>
      <c r="AB219" s="130"/>
      <c r="AC219" s="72" t="s">
        <v>211</v>
      </c>
      <c r="AD219" s="130"/>
    </row>
    <row r="220">
      <c r="A220" s="56">
        <v>29.0</v>
      </c>
      <c r="B220" s="56" t="str">
        <f t="shared" si="3"/>
        <v>ALN132</v>
      </c>
      <c r="C220" s="68" t="s">
        <v>118</v>
      </c>
      <c r="D220" s="180">
        <v>132.0</v>
      </c>
      <c r="E220" s="174">
        <v>1.0</v>
      </c>
      <c r="F220" s="176" t="s">
        <v>360</v>
      </c>
      <c r="G220" s="7" t="str">
        <f t="shared" si="2"/>
        <v>ALN132-B-1-FL</v>
      </c>
      <c r="H220" s="68" t="str">
        <f t="shared" si="4"/>
        <v>ألين - 132</v>
      </c>
      <c r="I220" s="174" t="s">
        <v>303</v>
      </c>
      <c r="J220" s="51" t="s">
        <v>295</v>
      </c>
      <c r="K220" s="173">
        <v>159.0</v>
      </c>
      <c r="L220" s="7">
        <v>2499000.0</v>
      </c>
      <c r="M220" s="178" t="s">
        <v>322</v>
      </c>
      <c r="N220" s="80"/>
      <c r="O220" s="80"/>
      <c r="P220" s="80"/>
      <c r="Q220" s="80"/>
      <c r="R220" s="80"/>
      <c r="S220" s="80"/>
      <c r="T220" s="80"/>
      <c r="U220" s="80"/>
      <c r="V220" s="181">
        <v>46030.0</v>
      </c>
      <c r="W220" s="80"/>
      <c r="X220" s="80"/>
      <c r="Y220" s="60"/>
      <c r="Z220" s="60"/>
      <c r="AA220" s="68" t="s">
        <v>180</v>
      </c>
      <c r="AB220" s="130"/>
      <c r="AC220" s="72" t="s">
        <v>211</v>
      </c>
      <c r="AD220" s="130"/>
    </row>
    <row r="221">
      <c r="A221" s="56">
        <v>29.0</v>
      </c>
      <c r="B221" s="56" t="str">
        <f t="shared" si="3"/>
        <v>ALN132</v>
      </c>
      <c r="C221" s="68" t="s">
        <v>118</v>
      </c>
      <c r="D221" s="180">
        <v>132.0</v>
      </c>
      <c r="E221" s="174">
        <v>1.0</v>
      </c>
      <c r="F221" s="176" t="s">
        <v>360</v>
      </c>
      <c r="G221" s="7" t="str">
        <f t="shared" si="2"/>
        <v>ALN132-C-1-FL</v>
      </c>
      <c r="H221" s="68" t="str">
        <f t="shared" si="4"/>
        <v>ألين - 132</v>
      </c>
      <c r="I221" s="174" t="s">
        <v>317</v>
      </c>
      <c r="J221" s="51" t="s">
        <v>295</v>
      </c>
      <c r="K221" s="173">
        <v>73.0</v>
      </c>
      <c r="L221" s="7">
        <v>1999000.0</v>
      </c>
      <c r="M221" s="178" t="s">
        <v>322</v>
      </c>
      <c r="N221" s="80"/>
      <c r="O221" s="80"/>
      <c r="P221" s="80"/>
      <c r="Q221" s="80"/>
      <c r="R221" s="80"/>
      <c r="S221" s="80"/>
      <c r="T221" s="80"/>
      <c r="U221" s="80"/>
      <c r="V221" s="181">
        <v>46031.0</v>
      </c>
      <c r="W221" s="80"/>
      <c r="X221" s="80"/>
      <c r="Y221" s="60"/>
      <c r="Z221" s="60"/>
      <c r="AA221" s="68" t="s">
        <v>180</v>
      </c>
      <c r="AB221" s="130"/>
      <c r="AC221" s="72" t="s">
        <v>211</v>
      </c>
      <c r="AD221" s="130"/>
    </row>
    <row r="222">
      <c r="A222" s="56">
        <v>29.0</v>
      </c>
      <c r="B222" s="56" t="str">
        <f t="shared" si="3"/>
        <v>ALN132</v>
      </c>
      <c r="C222" s="68" t="s">
        <v>118</v>
      </c>
      <c r="D222" s="180">
        <v>132.0</v>
      </c>
      <c r="E222" s="174">
        <v>2.0</v>
      </c>
      <c r="F222" s="176" t="s">
        <v>360</v>
      </c>
      <c r="G222" s="7" t="str">
        <f t="shared" si="2"/>
        <v>ALN132-A-2-FL</v>
      </c>
      <c r="H222" s="68" t="str">
        <f t="shared" si="4"/>
        <v>ألين - 132</v>
      </c>
      <c r="I222" s="174" t="s">
        <v>294</v>
      </c>
      <c r="J222" s="51" t="s">
        <v>295</v>
      </c>
      <c r="K222" s="173">
        <v>165.0</v>
      </c>
      <c r="L222" s="7">
        <v>2899000.0</v>
      </c>
      <c r="M222" s="178" t="s">
        <v>322</v>
      </c>
      <c r="N222" s="80"/>
      <c r="O222" s="80"/>
      <c r="P222" s="80"/>
      <c r="Q222" s="80"/>
      <c r="R222" s="80"/>
      <c r="S222" s="80"/>
      <c r="T222" s="80"/>
      <c r="U222" s="80"/>
      <c r="V222" s="181">
        <v>46032.0</v>
      </c>
      <c r="W222" s="80"/>
      <c r="X222" s="80"/>
      <c r="Y222" s="60"/>
      <c r="Z222" s="60"/>
      <c r="AA222" s="68" t="s">
        <v>180</v>
      </c>
      <c r="AB222" s="130"/>
      <c r="AC222" s="72" t="s">
        <v>211</v>
      </c>
      <c r="AD222" s="130"/>
    </row>
    <row r="223">
      <c r="A223" s="56">
        <v>29.0</v>
      </c>
      <c r="B223" s="56" t="str">
        <f t="shared" si="3"/>
        <v>ALN132</v>
      </c>
      <c r="C223" s="68" t="s">
        <v>118</v>
      </c>
      <c r="D223" s="180">
        <v>132.0</v>
      </c>
      <c r="E223" s="174">
        <v>2.0</v>
      </c>
      <c r="F223" s="176" t="s">
        <v>360</v>
      </c>
      <c r="G223" s="7" t="str">
        <f t="shared" si="2"/>
        <v>ALN132-B-2-FL</v>
      </c>
      <c r="H223" s="68" t="str">
        <f t="shared" si="4"/>
        <v>ألين - 132</v>
      </c>
      <c r="I223" s="174" t="s">
        <v>303</v>
      </c>
      <c r="J223" s="51" t="s">
        <v>295</v>
      </c>
      <c r="K223" s="173">
        <v>159.0</v>
      </c>
      <c r="L223" s="7">
        <v>2499000.0</v>
      </c>
      <c r="M223" s="178" t="s">
        <v>322</v>
      </c>
      <c r="N223" s="80"/>
      <c r="O223" s="80"/>
      <c r="P223" s="80"/>
      <c r="Q223" s="80"/>
      <c r="R223" s="80"/>
      <c r="S223" s="80"/>
      <c r="T223" s="80"/>
      <c r="U223" s="80"/>
      <c r="V223" s="181">
        <v>46033.0</v>
      </c>
      <c r="W223" s="80"/>
      <c r="X223" s="80"/>
      <c r="Y223" s="60"/>
      <c r="Z223" s="60"/>
      <c r="AA223" s="68" t="s">
        <v>180</v>
      </c>
      <c r="AB223" s="130"/>
      <c r="AC223" s="72" t="s">
        <v>211</v>
      </c>
      <c r="AD223" s="130"/>
    </row>
    <row r="224">
      <c r="A224" s="56">
        <v>29.0</v>
      </c>
      <c r="B224" s="56" t="str">
        <f t="shared" si="3"/>
        <v>ALN132</v>
      </c>
      <c r="C224" s="68" t="s">
        <v>118</v>
      </c>
      <c r="D224" s="180">
        <v>132.0</v>
      </c>
      <c r="E224" s="174">
        <v>2.0</v>
      </c>
      <c r="F224" s="176" t="s">
        <v>360</v>
      </c>
      <c r="G224" s="7" t="str">
        <f t="shared" si="2"/>
        <v>ALN132-C-2-FL</v>
      </c>
      <c r="H224" s="68" t="str">
        <f t="shared" si="4"/>
        <v>ألين - 132</v>
      </c>
      <c r="I224" s="174" t="s">
        <v>317</v>
      </c>
      <c r="J224" s="51" t="s">
        <v>295</v>
      </c>
      <c r="K224" s="173">
        <v>73.0</v>
      </c>
      <c r="L224" s="7">
        <v>1999000.0</v>
      </c>
      <c r="M224" s="178" t="s">
        <v>322</v>
      </c>
      <c r="N224" s="80"/>
      <c r="O224" s="80"/>
      <c r="P224" s="80"/>
      <c r="Q224" s="80"/>
      <c r="R224" s="80"/>
      <c r="S224" s="80"/>
      <c r="T224" s="80"/>
      <c r="U224" s="80"/>
      <c r="V224" s="181">
        <v>46034.0</v>
      </c>
      <c r="W224" s="80"/>
      <c r="X224" s="80"/>
      <c r="Y224" s="60"/>
      <c r="Z224" s="60"/>
      <c r="AA224" s="68" t="s">
        <v>180</v>
      </c>
      <c r="AB224" s="130"/>
      <c r="AC224" s="72" t="s">
        <v>211</v>
      </c>
      <c r="AD224" s="130"/>
    </row>
    <row r="225">
      <c r="A225" s="56">
        <v>29.0</v>
      </c>
      <c r="B225" s="56" t="str">
        <f t="shared" si="3"/>
        <v>ALN132</v>
      </c>
      <c r="C225" s="68" t="s">
        <v>118</v>
      </c>
      <c r="D225" s="180">
        <v>132.0</v>
      </c>
      <c r="E225" s="174">
        <v>3.0</v>
      </c>
      <c r="F225" s="176" t="s">
        <v>360</v>
      </c>
      <c r="G225" s="7" t="str">
        <f t="shared" si="2"/>
        <v>ALN132-A-3-FL</v>
      </c>
      <c r="H225" s="68" t="str">
        <f t="shared" si="4"/>
        <v>ألين - 132</v>
      </c>
      <c r="I225" s="174" t="s">
        <v>294</v>
      </c>
      <c r="J225" s="51" t="s">
        <v>295</v>
      </c>
      <c r="K225" s="173">
        <v>165.0</v>
      </c>
      <c r="L225" s="7">
        <v>2899000.0</v>
      </c>
      <c r="M225" s="178" t="s">
        <v>322</v>
      </c>
      <c r="N225" s="80"/>
      <c r="O225" s="80"/>
      <c r="P225" s="80"/>
      <c r="Q225" s="80"/>
      <c r="R225" s="80"/>
      <c r="S225" s="80"/>
      <c r="T225" s="80"/>
      <c r="U225" s="80"/>
      <c r="V225" s="181">
        <v>46035.0</v>
      </c>
      <c r="W225" s="80"/>
      <c r="X225" s="80"/>
      <c r="Y225" s="60"/>
      <c r="Z225" s="60"/>
      <c r="AA225" s="68" t="s">
        <v>180</v>
      </c>
      <c r="AB225" s="130"/>
      <c r="AC225" s="72" t="s">
        <v>211</v>
      </c>
      <c r="AD225" s="130"/>
    </row>
    <row r="226">
      <c r="A226" s="56">
        <v>29.0</v>
      </c>
      <c r="B226" s="56" t="str">
        <f t="shared" si="3"/>
        <v>ALN132</v>
      </c>
      <c r="C226" s="68" t="s">
        <v>118</v>
      </c>
      <c r="D226" s="180">
        <v>132.0</v>
      </c>
      <c r="E226" s="174">
        <v>3.0</v>
      </c>
      <c r="F226" s="176" t="s">
        <v>360</v>
      </c>
      <c r="G226" s="7" t="str">
        <f t="shared" si="2"/>
        <v>ALN132-B-3-FL</v>
      </c>
      <c r="H226" s="68" t="str">
        <f t="shared" si="4"/>
        <v>ألين - 132</v>
      </c>
      <c r="I226" s="174" t="s">
        <v>303</v>
      </c>
      <c r="J226" s="51" t="s">
        <v>295</v>
      </c>
      <c r="K226" s="173">
        <v>159.0</v>
      </c>
      <c r="L226" s="7">
        <v>2499000.0</v>
      </c>
      <c r="M226" s="178" t="s">
        <v>322</v>
      </c>
      <c r="N226" s="80"/>
      <c r="O226" s="80"/>
      <c r="P226" s="80"/>
      <c r="Q226" s="80"/>
      <c r="R226" s="80"/>
      <c r="S226" s="80"/>
      <c r="T226" s="80"/>
      <c r="U226" s="80"/>
      <c r="V226" s="181">
        <v>46036.0</v>
      </c>
      <c r="W226" s="80"/>
      <c r="X226" s="80"/>
      <c r="Y226" s="60"/>
      <c r="Z226" s="60"/>
      <c r="AA226" s="68" t="s">
        <v>180</v>
      </c>
      <c r="AB226" s="130"/>
      <c r="AC226" s="72" t="s">
        <v>211</v>
      </c>
      <c r="AD226" s="130"/>
    </row>
    <row r="227">
      <c r="A227" s="56">
        <v>29.0</v>
      </c>
      <c r="B227" s="56" t="str">
        <f t="shared" si="3"/>
        <v>ALN132</v>
      </c>
      <c r="C227" s="68" t="s">
        <v>118</v>
      </c>
      <c r="D227" s="180">
        <v>132.0</v>
      </c>
      <c r="E227" s="174">
        <v>3.0</v>
      </c>
      <c r="F227" s="176" t="s">
        <v>360</v>
      </c>
      <c r="G227" s="7" t="str">
        <f t="shared" si="2"/>
        <v>ALN132-C-3-FL</v>
      </c>
      <c r="H227" s="68" t="str">
        <f t="shared" si="4"/>
        <v>ألين - 132</v>
      </c>
      <c r="I227" s="174" t="s">
        <v>317</v>
      </c>
      <c r="J227" s="51" t="s">
        <v>295</v>
      </c>
      <c r="K227" s="173">
        <v>73.0</v>
      </c>
      <c r="L227" s="7">
        <v>1999000.0</v>
      </c>
      <c r="M227" s="178" t="s">
        <v>322</v>
      </c>
      <c r="N227" s="80"/>
      <c r="O227" s="80"/>
      <c r="P227" s="80"/>
      <c r="Q227" s="80"/>
      <c r="R227" s="80"/>
      <c r="S227" s="80"/>
      <c r="T227" s="80"/>
      <c r="U227" s="80"/>
      <c r="V227" s="181">
        <v>46037.0</v>
      </c>
      <c r="W227" s="80"/>
      <c r="X227" s="80"/>
      <c r="Y227" s="60"/>
      <c r="Z227" s="60"/>
      <c r="AA227" s="68" t="s">
        <v>180</v>
      </c>
      <c r="AB227" s="130"/>
      <c r="AC227" s="72" t="s">
        <v>211</v>
      </c>
      <c r="AD227" s="130"/>
    </row>
    <row r="228">
      <c r="A228" s="56">
        <v>29.0</v>
      </c>
      <c r="B228" s="56" t="str">
        <f t="shared" si="3"/>
        <v>ALN132</v>
      </c>
      <c r="C228" s="68" t="s">
        <v>118</v>
      </c>
      <c r="D228" s="180">
        <v>132.0</v>
      </c>
      <c r="E228" s="174">
        <v>4.0</v>
      </c>
      <c r="F228" s="176" t="s">
        <v>360</v>
      </c>
      <c r="G228" s="7" t="str">
        <f t="shared" si="2"/>
        <v>ALN132-A-4-FL</v>
      </c>
      <c r="H228" s="68" t="str">
        <f t="shared" si="4"/>
        <v>ألين - 132</v>
      </c>
      <c r="I228" s="174" t="s">
        <v>294</v>
      </c>
      <c r="J228" s="51" t="s">
        <v>295</v>
      </c>
      <c r="K228" s="173">
        <v>165.0</v>
      </c>
      <c r="L228" s="7">
        <v>2899000.0</v>
      </c>
      <c r="M228" s="178" t="s">
        <v>322</v>
      </c>
      <c r="N228" s="80"/>
      <c r="O228" s="80"/>
      <c r="P228" s="80"/>
      <c r="Q228" s="80"/>
      <c r="R228" s="80"/>
      <c r="S228" s="80"/>
      <c r="T228" s="80"/>
      <c r="U228" s="80"/>
      <c r="V228" s="181">
        <v>46038.0</v>
      </c>
      <c r="W228" s="80"/>
      <c r="X228" s="80"/>
      <c r="Y228" s="60"/>
      <c r="Z228" s="60"/>
      <c r="AA228" s="68" t="s">
        <v>180</v>
      </c>
      <c r="AB228" s="130"/>
      <c r="AC228" s="72" t="s">
        <v>211</v>
      </c>
      <c r="AD228" s="130"/>
    </row>
    <row r="229">
      <c r="A229" s="56">
        <v>29.0</v>
      </c>
      <c r="B229" s="56" t="str">
        <f t="shared" si="3"/>
        <v>ALN132</v>
      </c>
      <c r="C229" s="68" t="s">
        <v>118</v>
      </c>
      <c r="D229" s="180">
        <v>132.0</v>
      </c>
      <c r="E229" s="174">
        <v>4.0</v>
      </c>
      <c r="F229" s="176" t="s">
        <v>360</v>
      </c>
      <c r="G229" s="7" t="str">
        <f t="shared" si="2"/>
        <v>ALN132-B-4-FL</v>
      </c>
      <c r="H229" s="68" t="str">
        <f t="shared" si="4"/>
        <v>ألين - 132</v>
      </c>
      <c r="I229" s="174" t="s">
        <v>303</v>
      </c>
      <c r="J229" s="51" t="s">
        <v>295</v>
      </c>
      <c r="K229" s="173">
        <v>159.0</v>
      </c>
      <c r="L229" s="7">
        <v>2499000.0</v>
      </c>
      <c r="M229" s="178" t="s">
        <v>322</v>
      </c>
      <c r="N229" s="80"/>
      <c r="O229" s="80"/>
      <c r="P229" s="80"/>
      <c r="Q229" s="80"/>
      <c r="R229" s="80"/>
      <c r="S229" s="80"/>
      <c r="T229" s="80"/>
      <c r="U229" s="80"/>
      <c r="V229" s="181">
        <v>46039.0</v>
      </c>
      <c r="W229" s="80"/>
      <c r="X229" s="80"/>
      <c r="Y229" s="60"/>
      <c r="Z229" s="60"/>
      <c r="AA229" s="68" t="s">
        <v>180</v>
      </c>
      <c r="AB229" s="130"/>
      <c r="AC229" s="72" t="s">
        <v>211</v>
      </c>
      <c r="AD229" s="130"/>
    </row>
    <row r="230">
      <c r="A230" s="56">
        <v>29.0</v>
      </c>
      <c r="B230" s="56" t="str">
        <f t="shared" si="3"/>
        <v>ALN132</v>
      </c>
      <c r="C230" s="68" t="s">
        <v>118</v>
      </c>
      <c r="D230" s="180">
        <v>132.0</v>
      </c>
      <c r="E230" s="174">
        <v>4.0</v>
      </c>
      <c r="F230" s="176" t="s">
        <v>360</v>
      </c>
      <c r="G230" s="7" t="str">
        <f t="shared" si="2"/>
        <v>ALN132-C-4-FL</v>
      </c>
      <c r="H230" s="68" t="str">
        <f t="shared" si="4"/>
        <v>ألين - 132</v>
      </c>
      <c r="I230" s="174" t="s">
        <v>317</v>
      </c>
      <c r="J230" s="51" t="s">
        <v>295</v>
      </c>
      <c r="K230" s="173">
        <v>73.0</v>
      </c>
      <c r="L230" s="7">
        <v>1999000.0</v>
      </c>
      <c r="M230" s="178" t="s">
        <v>322</v>
      </c>
      <c r="N230" s="80"/>
      <c r="O230" s="80"/>
      <c r="P230" s="80"/>
      <c r="Q230" s="80"/>
      <c r="R230" s="80"/>
      <c r="S230" s="80"/>
      <c r="T230" s="80"/>
      <c r="U230" s="80"/>
      <c r="V230" s="181">
        <v>46040.0</v>
      </c>
      <c r="W230" s="80"/>
      <c r="X230" s="80"/>
      <c r="Y230" s="60"/>
      <c r="Z230" s="60"/>
      <c r="AA230" s="68" t="s">
        <v>180</v>
      </c>
      <c r="AB230" s="130"/>
      <c r="AC230" s="72" t="s">
        <v>211</v>
      </c>
      <c r="AD230" s="130"/>
    </row>
    <row r="231">
      <c r="A231" s="56">
        <v>29.0</v>
      </c>
      <c r="B231" s="56" t="str">
        <f t="shared" si="3"/>
        <v>ALN132</v>
      </c>
      <c r="C231" s="68" t="s">
        <v>118</v>
      </c>
      <c r="D231" s="180">
        <v>132.0</v>
      </c>
      <c r="E231" s="174">
        <v>5.0</v>
      </c>
      <c r="F231" s="176" t="s">
        <v>360</v>
      </c>
      <c r="G231" s="7" t="str">
        <f t="shared" si="2"/>
        <v>ALN132-A-5-FL</v>
      </c>
      <c r="H231" s="68" t="str">
        <f t="shared" si="4"/>
        <v>ألين - 132</v>
      </c>
      <c r="I231" s="174" t="s">
        <v>294</v>
      </c>
      <c r="J231" s="51" t="s">
        <v>295</v>
      </c>
      <c r="K231" s="173">
        <v>165.0</v>
      </c>
      <c r="L231" s="7">
        <v>2899000.0</v>
      </c>
      <c r="M231" s="178" t="s">
        <v>322</v>
      </c>
      <c r="N231" s="80"/>
      <c r="O231" s="80"/>
      <c r="P231" s="80"/>
      <c r="Q231" s="80"/>
      <c r="R231" s="80"/>
      <c r="S231" s="80"/>
      <c r="T231" s="80"/>
      <c r="U231" s="80"/>
      <c r="V231" s="181">
        <v>46041.0</v>
      </c>
      <c r="W231" s="80"/>
      <c r="X231" s="80"/>
      <c r="Y231" s="60"/>
      <c r="Z231" s="60"/>
      <c r="AA231" s="68" t="s">
        <v>180</v>
      </c>
      <c r="AB231" s="130"/>
      <c r="AC231" s="72" t="s">
        <v>211</v>
      </c>
      <c r="AD231" s="130"/>
    </row>
    <row r="232">
      <c r="A232" s="56">
        <v>29.0</v>
      </c>
      <c r="B232" s="56" t="str">
        <f t="shared" si="3"/>
        <v>ALN132</v>
      </c>
      <c r="C232" s="68" t="s">
        <v>118</v>
      </c>
      <c r="D232" s="180">
        <v>132.0</v>
      </c>
      <c r="E232" s="174">
        <v>5.0</v>
      </c>
      <c r="F232" s="176" t="s">
        <v>360</v>
      </c>
      <c r="G232" s="7" t="str">
        <f t="shared" si="2"/>
        <v>ALN132-B-5-FL</v>
      </c>
      <c r="H232" s="68" t="str">
        <f t="shared" si="4"/>
        <v>ألين - 132</v>
      </c>
      <c r="I232" s="174" t="s">
        <v>303</v>
      </c>
      <c r="J232" s="51" t="s">
        <v>295</v>
      </c>
      <c r="K232" s="173">
        <v>159.0</v>
      </c>
      <c r="L232" s="7">
        <v>2499000.0</v>
      </c>
      <c r="M232" s="178" t="s">
        <v>322</v>
      </c>
      <c r="N232" s="80"/>
      <c r="O232" s="80"/>
      <c r="P232" s="80"/>
      <c r="Q232" s="80"/>
      <c r="R232" s="80"/>
      <c r="S232" s="80"/>
      <c r="T232" s="80"/>
      <c r="U232" s="80"/>
      <c r="V232" s="181">
        <v>46042.0</v>
      </c>
      <c r="W232" s="80"/>
      <c r="X232" s="80"/>
      <c r="Y232" s="60"/>
      <c r="Z232" s="60"/>
      <c r="AA232" s="68" t="s">
        <v>180</v>
      </c>
      <c r="AB232" s="130"/>
      <c r="AC232" s="72" t="s">
        <v>211</v>
      </c>
      <c r="AD232" s="130"/>
    </row>
    <row r="233">
      <c r="A233" s="56">
        <v>29.0</v>
      </c>
      <c r="B233" s="56" t="str">
        <f t="shared" si="3"/>
        <v>ALN132</v>
      </c>
      <c r="C233" s="68" t="s">
        <v>118</v>
      </c>
      <c r="D233" s="180">
        <v>132.0</v>
      </c>
      <c r="E233" s="174">
        <v>5.0</v>
      </c>
      <c r="F233" s="176" t="s">
        <v>360</v>
      </c>
      <c r="G233" s="7" t="str">
        <f t="shared" si="2"/>
        <v>ALN132-C-5-FL</v>
      </c>
      <c r="H233" s="68" t="str">
        <f t="shared" si="4"/>
        <v>ألين - 132</v>
      </c>
      <c r="I233" s="174" t="s">
        <v>317</v>
      </c>
      <c r="J233" s="51" t="s">
        <v>295</v>
      </c>
      <c r="K233" s="173">
        <v>73.0</v>
      </c>
      <c r="L233" s="7">
        <v>1999000.0</v>
      </c>
      <c r="M233" s="178" t="s">
        <v>322</v>
      </c>
      <c r="N233" s="80"/>
      <c r="O233" s="80"/>
      <c r="P233" s="80"/>
      <c r="Q233" s="80"/>
      <c r="R233" s="80"/>
      <c r="S233" s="80"/>
      <c r="T233" s="80"/>
      <c r="U233" s="80"/>
      <c r="V233" s="181">
        <v>46043.0</v>
      </c>
      <c r="W233" s="80"/>
      <c r="X233" s="80"/>
      <c r="Y233" s="60"/>
      <c r="Z233" s="60"/>
      <c r="AA233" s="68" t="s">
        <v>180</v>
      </c>
      <c r="AB233" s="130"/>
      <c r="AC233" s="72" t="s">
        <v>211</v>
      </c>
      <c r="AD233" s="130"/>
    </row>
    <row r="234">
      <c r="A234" s="56">
        <v>30.0</v>
      </c>
      <c r="B234" s="56" t="str">
        <f t="shared" si="3"/>
        <v>ALN136</v>
      </c>
      <c r="C234" s="68" t="s">
        <v>118</v>
      </c>
      <c r="D234" s="180">
        <v>136.0</v>
      </c>
      <c r="E234" s="174">
        <v>1.0</v>
      </c>
      <c r="F234" s="176" t="s">
        <v>360</v>
      </c>
      <c r="G234" s="7" t="str">
        <f t="shared" si="2"/>
        <v>ALN136-A-1-FL</v>
      </c>
      <c r="H234" s="68" t="str">
        <f t="shared" si="4"/>
        <v>ألين - 136</v>
      </c>
      <c r="I234" s="174" t="s">
        <v>294</v>
      </c>
      <c r="J234" s="51" t="s">
        <v>295</v>
      </c>
      <c r="K234" s="173">
        <v>164.0</v>
      </c>
      <c r="L234" s="7">
        <v>1699000.0</v>
      </c>
      <c r="M234" s="178" t="s">
        <v>322</v>
      </c>
      <c r="N234" s="180">
        <v>3.0</v>
      </c>
      <c r="O234" s="180">
        <v>3.0</v>
      </c>
      <c r="P234" s="80"/>
      <c r="Q234" s="80"/>
      <c r="R234" s="80"/>
      <c r="S234" s="80"/>
      <c r="T234" s="80"/>
      <c r="U234" s="80"/>
      <c r="V234" s="181">
        <v>46044.0</v>
      </c>
      <c r="W234" s="80"/>
      <c r="X234" s="180" t="s">
        <v>213</v>
      </c>
      <c r="Y234" s="60"/>
      <c r="Z234" s="60"/>
      <c r="AA234" s="68" t="s">
        <v>214</v>
      </c>
      <c r="AB234" s="130"/>
      <c r="AC234" s="72" t="s">
        <v>215</v>
      </c>
      <c r="AD234" s="130"/>
    </row>
    <row r="235">
      <c r="A235" s="56">
        <v>30.0</v>
      </c>
      <c r="B235" s="56" t="str">
        <f t="shared" si="3"/>
        <v>ALN136</v>
      </c>
      <c r="C235" s="68" t="s">
        <v>118</v>
      </c>
      <c r="D235" s="180">
        <v>136.0</v>
      </c>
      <c r="E235" s="174">
        <v>1.0</v>
      </c>
      <c r="F235" s="176" t="s">
        <v>360</v>
      </c>
      <c r="G235" s="7" t="str">
        <f t="shared" si="2"/>
        <v>ALN136-B-1-FL</v>
      </c>
      <c r="H235" s="68" t="str">
        <f t="shared" si="4"/>
        <v>ألين - 136</v>
      </c>
      <c r="I235" s="174" t="s">
        <v>303</v>
      </c>
      <c r="J235" s="51" t="s">
        <v>295</v>
      </c>
      <c r="K235" s="173">
        <v>152.0</v>
      </c>
      <c r="L235" s="7">
        <v>1499000.0</v>
      </c>
      <c r="M235" s="178" t="s">
        <v>322</v>
      </c>
      <c r="N235" s="180">
        <v>3.0</v>
      </c>
      <c r="O235" s="180">
        <v>3.0</v>
      </c>
      <c r="P235" s="80"/>
      <c r="Q235" s="80"/>
      <c r="R235" s="80"/>
      <c r="S235" s="80"/>
      <c r="T235" s="80"/>
      <c r="U235" s="80"/>
      <c r="V235" s="181">
        <v>46045.0</v>
      </c>
      <c r="W235" s="80"/>
      <c r="X235" s="80"/>
      <c r="Y235" s="60"/>
      <c r="Z235" s="60"/>
      <c r="AA235" s="68" t="s">
        <v>214</v>
      </c>
      <c r="AB235" s="130"/>
      <c r="AC235" s="72" t="s">
        <v>215</v>
      </c>
      <c r="AD235" s="130"/>
    </row>
    <row r="236">
      <c r="A236" s="56">
        <v>30.0</v>
      </c>
      <c r="B236" s="56" t="str">
        <f t="shared" si="3"/>
        <v>ALN136</v>
      </c>
      <c r="C236" s="68" t="s">
        <v>118</v>
      </c>
      <c r="D236" s="180">
        <v>136.0</v>
      </c>
      <c r="E236" s="174">
        <v>1.0</v>
      </c>
      <c r="F236" s="176" t="s">
        <v>360</v>
      </c>
      <c r="G236" s="7" t="str">
        <f t="shared" si="2"/>
        <v>ALN136-C-1-FL</v>
      </c>
      <c r="H236" s="68" t="str">
        <f t="shared" si="4"/>
        <v>ألين - 136</v>
      </c>
      <c r="I236" s="174" t="s">
        <v>317</v>
      </c>
      <c r="J236" s="51" t="s">
        <v>295</v>
      </c>
      <c r="K236" s="173">
        <v>74.0</v>
      </c>
      <c r="L236" s="7">
        <v>999000.0</v>
      </c>
      <c r="M236" s="178" t="s">
        <v>322</v>
      </c>
      <c r="N236" s="180">
        <v>3.0</v>
      </c>
      <c r="O236" s="180">
        <v>3.0</v>
      </c>
      <c r="P236" s="80"/>
      <c r="Q236" s="80"/>
      <c r="R236" s="80"/>
      <c r="S236" s="80"/>
      <c r="T236" s="80"/>
      <c r="U236" s="80"/>
      <c r="V236" s="181">
        <v>46046.0</v>
      </c>
      <c r="W236" s="80"/>
      <c r="X236" s="80"/>
      <c r="Y236" s="60"/>
      <c r="Z236" s="60"/>
      <c r="AA236" s="68" t="s">
        <v>214</v>
      </c>
      <c r="AB236" s="130"/>
      <c r="AC236" s="72" t="s">
        <v>215</v>
      </c>
      <c r="AD236" s="130"/>
    </row>
    <row r="237">
      <c r="A237" s="56">
        <v>30.0</v>
      </c>
      <c r="B237" s="56" t="str">
        <f t="shared" si="3"/>
        <v>ALN136</v>
      </c>
      <c r="C237" s="68" t="s">
        <v>118</v>
      </c>
      <c r="D237" s="180">
        <v>136.0</v>
      </c>
      <c r="E237" s="174">
        <v>2.0</v>
      </c>
      <c r="F237" s="176" t="s">
        <v>360</v>
      </c>
      <c r="G237" s="7" t="str">
        <f t="shared" si="2"/>
        <v>ALN136-A-2-FL</v>
      </c>
      <c r="H237" s="68" t="str">
        <f t="shared" si="4"/>
        <v>ألين - 136</v>
      </c>
      <c r="I237" s="174" t="s">
        <v>294</v>
      </c>
      <c r="J237" s="51" t="s">
        <v>295</v>
      </c>
      <c r="K237" s="173">
        <v>164.0</v>
      </c>
      <c r="L237" s="7">
        <v>1699000.0</v>
      </c>
      <c r="M237" s="178" t="s">
        <v>322</v>
      </c>
      <c r="N237" s="180">
        <v>3.0</v>
      </c>
      <c r="O237" s="180">
        <v>3.0</v>
      </c>
      <c r="P237" s="80"/>
      <c r="Q237" s="80"/>
      <c r="R237" s="80"/>
      <c r="S237" s="80"/>
      <c r="T237" s="80"/>
      <c r="U237" s="80"/>
      <c r="V237" s="181">
        <v>46047.0</v>
      </c>
      <c r="W237" s="80"/>
      <c r="X237" s="80"/>
      <c r="Y237" s="60"/>
      <c r="Z237" s="60"/>
      <c r="AA237" s="68" t="s">
        <v>214</v>
      </c>
      <c r="AB237" s="130"/>
      <c r="AC237" s="72" t="s">
        <v>215</v>
      </c>
      <c r="AD237" s="130"/>
    </row>
    <row r="238">
      <c r="A238" s="56">
        <v>30.0</v>
      </c>
      <c r="B238" s="56" t="str">
        <f t="shared" si="3"/>
        <v>ALN136</v>
      </c>
      <c r="C238" s="68" t="s">
        <v>118</v>
      </c>
      <c r="D238" s="180">
        <v>136.0</v>
      </c>
      <c r="E238" s="174">
        <v>2.0</v>
      </c>
      <c r="F238" s="176" t="s">
        <v>360</v>
      </c>
      <c r="G238" s="7" t="str">
        <f t="shared" si="2"/>
        <v>ALN136-B-2-FL</v>
      </c>
      <c r="H238" s="68" t="str">
        <f t="shared" si="4"/>
        <v>ألين - 136</v>
      </c>
      <c r="I238" s="174" t="s">
        <v>303</v>
      </c>
      <c r="J238" s="51" t="s">
        <v>295</v>
      </c>
      <c r="K238" s="173">
        <v>152.0</v>
      </c>
      <c r="L238" s="7">
        <v>1499000.0</v>
      </c>
      <c r="M238" s="178" t="s">
        <v>322</v>
      </c>
      <c r="N238" s="180">
        <v>3.0</v>
      </c>
      <c r="O238" s="180">
        <v>3.0</v>
      </c>
      <c r="P238" s="80"/>
      <c r="Q238" s="80"/>
      <c r="R238" s="80"/>
      <c r="S238" s="80"/>
      <c r="T238" s="80"/>
      <c r="U238" s="80"/>
      <c r="V238" s="181">
        <v>46048.0</v>
      </c>
      <c r="W238" s="80"/>
      <c r="X238" s="80"/>
      <c r="Y238" s="60"/>
      <c r="Z238" s="60"/>
      <c r="AA238" s="68" t="s">
        <v>214</v>
      </c>
      <c r="AB238" s="130"/>
      <c r="AC238" s="72" t="s">
        <v>215</v>
      </c>
      <c r="AD238" s="130"/>
    </row>
    <row r="239">
      <c r="A239" s="56">
        <v>30.0</v>
      </c>
      <c r="B239" s="56" t="str">
        <f t="shared" si="3"/>
        <v>ALN136</v>
      </c>
      <c r="C239" s="68" t="s">
        <v>118</v>
      </c>
      <c r="D239" s="180">
        <v>136.0</v>
      </c>
      <c r="E239" s="174">
        <v>2.0</v>
      </c>
      <c r="F239" s="176" t="s">
        <v>360</v>
      </c>
      <c r="G239" s="7" t="str">
        <f t="shared" si="2"/>
        <v>ALN136-C-2-FL</v>
      </c>
      <c r="H239" s="68" t="str">
        <f t="shared" si="4"/>
        <v>ألين - 136</v>
      </c>
      <c r="I239" s="174" t="s">
        <v>317</v>
      </c>
      <c r="J239" s="51" t="s">
        <v>295</v>
      </c>
      <c r="K239" s="173">
        <v>74.0</v>
      </c>
      <c r="L239" s="7">
        <v>999000.0</v>
      </c>
      <c r="M239" s="178" t="s">
        <v>322</v>
      </c>
      <c r="N239" s="180">
        <v>3.0</v>
      </c>
      <c r="O239" s="180">
        <v>3.0</v>
      </c>
      <c r="P239" s="80"/>
      <c r="Q239" s="80"/>
      <c r="R239" s="80"/>
      <c r="S239" s="80"/>
      <c r="T239" s="80"/>
      <c r="U239" s="80"/>
      <c r="V239" s="181">
        <v>46049.0</v>
      </c>
      <c r="W239" s="80"/>
      <c r="X239" s="80"/>
      <c r="Y239" s="60"/>
      <c r="Z239" s="60"/>
      <c r="AA239" s="68" t="s">
        <v>214</v>
      </c>
      <c r="AB239" s="130"/>
      <c r="AC239" s="72" t="s">
        <v>215</v>
      </c>
      <c r="AD239" s="130"/>
    </row>
    <row r="240">
      <c r="A240" s="56">
        <v>30.0</v>
      </c>
      <c r="B240" s="56" t="str">
        <f t="shared" si="3"/>
        <v>ALN136</v>
      </c>
      <c r="C240" s="68" t="s">
        <v>118</v>
      </c>
      <c r="D240" s="180">
        <v>136.0</v>
      </c>
      <c r="E240" s="174">
        <v>3.0</v>
      </c>
      <c r="F240" s="176" t="s">
        <v>360</v>
      </c>
      <c r="G240" s="7" t="str">
        <f t="shared" si="2"/>
        <v>ALN136-A-3-FL</v>
      </c>
      <c r="H240" s="68" t="str">
        <f t="shared" si="4"/>
        <v>ألين - 136</v>
      </c>
      <c r="I240" s="174" t="s">
        <v>294</v>
      </c>
      <c r="J240" s="51" t="s">
        <v>295</v>
      </c>
      <c r="K240" s="173">
        <v>164.0</v>
      </c>
      <c r="L240" s="7">
        <v>1699000.0</v>
      </c>
      <c r="M240" s="178" t="s">
        <v>322</v>
      </c>
      <c r="N240" s="180">
        <v>3.0</v>
      </c>
      <c r="O240" s="180">
        <v>3.0</v>
      </c>
      <c r="P240" s="80"/>
      <c r="Q240" s="80"/>
      <c r="R240" s="80"/>
      <c r="S240" s="80"/>
      <c r="T240" s="80"/>
      <c r="U240" s="80"/>
      <c r="V240" s="181">
        <v>46050.0</v>
      </c>
      <c r="W240" s="80"/>
      <c r="X240" s="80"/>
      <c r="Y240" s="60"/>
      <c r="Z240" s="60"/>
      <c r="AA240" s="68" t="s">
        <v>214</v>
      </c>
      <c r="AB240" s="130"/>
      <c r="AC240" s="72" t="s">
        <v>215</v>
      </c>
      <c r="AD240" s="130"/>
    </row>
    <row r="241">
      <c r="A241" s="56">
        <v>30.0</v>
      </c>
      <c r="B241" s="56" t="str">
        <f t="shared" si="3"/>
        <v>ALN136</v>
      </c>
      <c r="C241" s="68" t="s">
        <v>118</v>
      </c>
      <c r="D241" s="180">
        <v>136.0</v>
      </c>
      <c r="E241" s="174">
        <v>3.0</v>
      </c>
      <c r="F241" s="176" t="s">
        <v>360</v>
      </c>
      <c r="G241" s="7" t="str">
        <f t="shared" si="2"/>
        <v>ALN136-B-3-FL</v>
      </c>
      <c r="H241" s="68" t="str">
        <f t="shared" si="4"/>
        <v>ألين - 136</v>
      </c>
      <c r="I241" s="174" t="s">
        <v>303</v>
      </c>
      <c r="J241" s="51" t="s">
        <v>295</v>
      </c>
      <c r="K241" s="173">
        <v>152.0</v>
      </c>
      <c r="L241" s="7">
        <v>1499000.0</v>
      </c>
      <c r="M241" s="178" t="s">
        <v>322</v>
      </c>
      <c r="N241" s="180">
        <v>3.0</v>
      </c>
      <c r="O241" s="180">
        <v>3.0</v>
      </c>
      <c r="P241" s="80"/>
      <c r="Q241" s="80"/>
      <c r="R241" s="80"/>
      <c r="S241" s="80"/>
      <c r="T241" s="80"/>
      <c r="U241" s="80"/>
      <c r="V241" s="181">
        <v>46051.0</v>
      </c>
      <c r="W241" s="80"/>
      <c r="X241" s="80"/>
      <c r="Y241" s="60"/>
      <c r="Z241" s="60"/>
      <c r="AA241" s="68" t="s">
        <v>214</v>
      </c>
      <c r="AB241" s="130"/>
      <c r="AC241" s="72" t="s">
        <v>215</v>
      </c>
      <c r="AD241" s="130"/>
    </row>
    <row r="242">
      <c r="A242" s="56">
        <v>30.0</v>
      </c>
      <c r="B242" s="56" t="str">
        <f t="shared" si="3"/>
        <v>ALN136</v>
      </c>
      <c r="C242" s="68" t="s">
        <v>118</v>
      </c>
      <c r="D242" s="180">
        <v>136.0</v>
      </c>
      <c r="E242" s="174">
        <v>3.0</v>
      </c>
      <c r="F242" s="176" t="s">
        <v>360</v>
      </c>
      <c r="G242" s="7" t="str">
        <f t="shared" si="2"/>
        <v>ALN136-C-3-FL</v>
      </c>
      <c r="H242" s="68" t="str">
        <f t="shared" si="4"/>
        <v>ألين - 136</v>
      </c>
      <c r="I242" s="174" t="s">
        <v>317</v>
      </c>
      <c r="J242" s="51" t="s">
        <v>295</v>
      </c>
      <c r="K242" s="173">
        <v>74.0</v>
      </c>
      <c r="L242" s="7">
        <v>999000.0</v>
      </c>
      <c r="M242" s="178" t="s">
        <v>322</v>
      </c>
      <c r="N242" s="180">
        <v>3.0</v>
      </c>
      <c r="O242" s="180">
        <v>3.0</v>
      </c>
      <c r="P242" s="80"/>
      <c r="Q242" s="80"/>
      <c r="R242" s="80"/>
      <c r="S242" s="80"/>
      <c r="T242" s="80"/>
      <c r="U242" s="80"/>
      <c r="V242" s="181">
        <v>46052.0</v>
      </c>
      <c r="W242" s="80"/>
      <c r="X242" s="80"/>
      <c r="Y242" s="60"/>
      <c r="Z242" s="60"/>
      <c r="AA242" s="68" t="s">
        <v>214</v>
      </c>
      <c r="AB242" s="130"/>
      <c r="AC242" s="72" t="s">
        <v>215</v>
      </c>
      <c r="AD242" s="130"/>
    </row>
    <row r="243">
      <c r="A243" s="56">
        <v>30.0</v>
      </c>
      <c r="B243" s="56" t="str">
        <f t="shared" si="3"/>
        <v>ALN136</v>
      </c>
      <c r="C243" s="68" t="s">
        <v>118</v>
      </c>
      <c r="D243" s="180">
        <v>136.0</v>
      </c>
      <c r="E243" s="174">
        <v>4.0</v>
      </c>
      <c r="F243" s="176" t="s">
        <v>360</v>
      </c>
      <c r="G243" s="7" t="str">
        <f t="shared" si="2"/>
        <v>ALN136-A-4-FL</v>
      </c>
      <c r="H243" s="68" t="str">
        <f t="shared" si="4"/>
        <v>ألين - 136</v>
      </c>
      <c r="I243" s="174" t="s">
        <v>294</v>
      </c>
      <c r="J243" s="51" t="s">
        <v>295</v>
      </c>
      <c r="K243" s="173">
        <v>164.0</v>
      </c>
      <c r="L243" s="7">
        <v>1699000.0</v>
      </c>
      <c r="M243" s="178" t="s">
        <v>322</v>
      </c>
      <c r="N243" s="180">
        <v>3.0</v>
      </c>
      <c r="O243" s="180">
        <v>3.0</v>
      </c>
      <c r="P243" s="80"/>
      <c r="Q243" s="80"/>
      <c r="R243" s="80"/>
      <c r="S243" s="80"/>
      <c r="T243" s="80"/>
      <c r="U243" s="80"/>
      <c r="V243" s="181">
        <v>46053.0</v>
      </c>
      <c r="W243" s="80"/>
      <c r="X243" s="80"/>
      <c r="Y243" s="60"/>
      <c r="Z243" s="60"/>
      <c r="AA243" s="68" t="s">
        <v>214</v>
      </c>
      <c r="AB243" s="130"/>
      <c r="AC243" s="72" t="s">
        <v>215</v>
      </c>
      <c r="AD243" s="130"/>
    </row>
    <row r="244">
      <c r="A244" s="56">
        <v>30.0</v>
      </c>
      <c r="B244" s="56" t="str">
        <f t="shared" si="3"/>
        <v>ALN136</v>
      </c>
      <c r="C244" s="68" t="s">
        <v>118</v>
      </c>
      <c r="D244" s="180">
        <v>136.0</v>
      </c>
      <c r="E244" s="174">
        <v>4.0</v>
      </c>
      <c r="F244" s="176" t="s">
        <v>360</v>
      </c>
      <c r="G244" s="7" t="str">
        <f t="shared" si="2"/>
        <v>ALN136-B-4-FL</v>
      </c>
      <c r="H244" s="68" t="str">
        <f t="shared" si="4"/>
        <v>ألين - 136</v>
      </c>
      <c r="I244" s="174" t="s">
        <v>303</v>
      </c>
      <c r="J244" s="51" t="s">
        <v>295</v>
      </c>
      <c r="K244" s="173">
        <v>152.0</v>
      </c>
      <c r="L244" s="7">
        <v>1499000.0</v>
      </c>
      <c r="M244" s="178" t="s">
        <v>322</v>
      </c>
      <c r="N244" s="180">
        <v>3.0</v>
      </c>
      <c r="O244" s="180">
        <v>3.0</v>
      </c>
      <c r="P244" s="80"/>
      <c r="Q244" s="80"/>
      <c r="R244" s="80"/>
      <c r="S244" s="80"/>
      <c r="T244" s="80"/>
      <c r="U244" s="80"/>
      <c r="V244" s="181">
        <v>46054.0</v>
      </c>
      <c r="W244" s="80"/>
      <c r="X244" s="80"/>
      <c r="Y244" s="60"/>
      <c r="Z244" s="60"/>
      <c r="AA244" s="68" t="s">
        <v>214</v>
      </c>
      <c r="AB244" s="130"/>
      <c r="AC244" s="72" t="s">
        <v>215</v>
      </c>
      <c r="AD244" s="130"/>
    </row>
    <row r="245">
      <c r="A245" s="56">
        <v>30.0</v>
      </c>
      <c r="B245" s="56" t="str">
        <f t="shared" si="3"/>
        <v>ALN136</v>
      </c>
      <c r="C245" s="68" t="s">
        <v>118</v>
      </c>
      <c r="D245" s="180">
        <v>136.0</v>
      </c>
      <c r="E245" s="174">
        <v>4.0</v>
      </c>
      <c r="F245" s="176" t="s">
        <v>360</v>
      </c>
      <c r="G245" s="7" t="str">
        <f t="shared" si="2"/>
        <v>ALN136-C-4-FL</v>
      </c>
      <c r="H245" s="68" t="str">
        <f t="shared" si="4"/>
        <v>ألين - 136</v>
      </c>
      <c r="I245" s="174" t="s">
        <v>317</v>
      </c>
      <c r="J245" s="51" t="s">
        <v>295</v>
      </c>
      <c r="K245" s="173">
        <v>74.0</v>
      </c>
      <c r="L245" s="7">
        <v>999000.0</v>
      </c>
      <c r="M245" s="178" t="s">
        <v>322</v>
      </c>
      <c r="N245" s="180">
        <v>3.0</v>
      </c>
      <c r="O245" s="180">
        <v>3.0</v>
      </c>
      <c r="P245" s="80"/>
      <c r="Q245" s="80"/>
      <c r="R245" s="80"/>
      <c r="S245" s="80"/>
      <c r="T245" s="80"/>
      <c r="U245" s="80"/>
      <c r="V245" s="181">
        <v>46055.0</v>
      </c>
      <c r="W245" s="80"/>
      <c r="X245" s="80"/>
      <c r="Y245" s="60"/>
      <c r="Z245" s="60"/>
      <c r="AA245" s="68" t="s">
        <v>214</v>
      </c>
      <c r="AB245" s="130"/>
      <c r="AC245" s="72" t="s">
        <v>215</v>
      </c>
      <c r="AD245" s="130"/>
    </row>
    <row r="246">
      <c r="A246" s="56">
        <v>31.0</v>
      </c>
      <c r="B246" s="56" t="str">
        <f t="shared" si="3"/>
        <v>ALN140</v>
      </c>
      <c r="C246" s="68" t="s">
        <v>118</v>
      </c>
      <c r="D246" s="180">
        <v>140.0</v>
      </c>
      <c r="E246" s="174">
        <v>1.0</v>
      </c>
      <c r="F246" s="176" t="s">
        <v>360</v>
      </c>
      <c r="G246" s="7" t="str">
        <f t="shared" si="2"/>
        <v>ALN140-A-1-FL</v>
      </c>
      <c r="H246" s="68" t="str">
        <f t="shared" si="4"/>
        <v>ألين - 140</v>
      </c>
      <c r="I246" s="174" t="s">
        <v>294</v>
      </c>
      <c r="J246" s="51" t="s">
        <v>295</v>
      </c>
      <c r="K246" s="173">
        <v>164.0</v>
      </c>
      <c r="L246" s="7">
        <v>1699000.0</v>
      </c>
      <c r="M246" s="178" t="s">
        <v>322</v>
      </c>
      <c r="N246" s="180">
        <v>3.0</v>
      </c>
      <c r="O246" s="80"/>
      <c r="P246" s="179" t="s">
        <v>361</v>
      </c>
      <c r="Q246" s="80"/>
      <c r="R246" s="80"/>
      <c r="S246" s="80"/>
      <c r="T246" s="80"/>
      <c r="U246" s="80"/>
      <c r="V246" s="181">
        <v>46056.0</v>
      </c>
      <c r="W246" s="80"/>
      <c r="X246" s="180" t="s">
        <v>217</v>
      </c>
      <c r="Y246" s="60"/>
      <c r="Z246" s="60"/>
      <c r="AA246" s="68" t="s">
        <v>214</v>
      </c>
      <c r="AB246" s="130"/>
      <c r="AC246" s="72" t="s">
        <v>218</v>
      </c>
      <c r="AD246" s="130"/>
    </row>
    <row r="247">
      <c r="A247" s="56">
        <v>31.0</v>
      </c>
      <c r="B247" s="56" t="str">
        <f t="shared" si="3"/>
        <v>ALN140</v>
      </c>
      <c r="C247" s="68" t="s">
        <v>118</v>
      </c>
      <c r="D247" s="180">
        <v>140.0</v>
      </c>
      <c r="E247" s="174">
        <v>1.0</v>
      </c>
      <c r="F247" s="176" t="s">
        <v>360</v>
      </c>
      <c r="G247" s="7" t="str">
        <f t="shared" si="2"/>
        <v>ALN140-B-1-FL</v>
      </c>
      <c r="H247" s="68" t="str">
        <f t="shared" si="4"/>
        <v>ألين - 140</v>
      </c>
      <c r="I247" s="174" t="s">
        <v>303</v>
      </c>
      <c r="J247" s="51" t="s">
        <v>295</v>
      </c>
      <c r="K247" s="173">
        <v>160.0</v>
      </c>
      <c r="L247" s="7">
        <v>1459000.0</v>
      </c>
      <c r="M247" s="178" t="s">
        <v>322</v>
      </c>
      <c r="N247" s="180">
        <v>3.0</v>
      </c>
      <c r="O247" s="80"/>
      <c r="P247" s="179" t="s">
        <v>361</v>
      </c>
      <c r="Q247" s="80"/>
      <c r="R247" s="80"/>
      <c r="S247" s="80"/>
      <c r="T247" s="80"/>
      <c r="U247" s="80"/>
      <c r="V247" s="181">
        <v>46057.0</v>
      </c>
      <c r="W247" s="80"/>
      <c r="X247" s="80"/>
      <c r="Y247" s="60"/>
      <c r="Z247" s="60"/>
      <c r="AA247" s="68" t="s">
        <v>214</v>
      </c>
      <c r="AB247" s="130"/>
      <c r="AC247" s="72" t="s">
        <v>218</v>
      </c>
      <c r="AD247" s="130"/>
    </row>
    <row r="248">
      <c r="A248" s="56">
        <v>31.0</v>
      </c>
      <c r="B248" s="56" t="str">
        <f t="shared" si="3"/>
        <v>ALN140</v>
      </c>
      <c r="C248" s="68" t="s">
        <v>118</v>
      </c>
      <c r="D248" s="180">
        <v>140.0</v>
      </c>
      <c r="E248" s="174">
        <v>1.0</v>
      </c>
      <c r="F248" s="176" t="s">
        <v>360</v>
      </c>
      <c r="G248" s="7" t="str">
        <f t="shared" si="2"/>
        <v>ALN140-C-1-FL</v>
      </c>
      <c r="H248" s="68" t="str">
        <f t="shared" si="4"/>
        <v>ألين - 140</v>
      </c>
      <c r="I248" s="174" t="s">
        <v>317</v>
      </c>
      <c r="J248" s="51" t="s">
        <v>295</v>
      </c>
      <c r="K248" s="173">
        <v>72.0</v>
      </c>
      <c r="L248" s="7">
        <v>899000.0</v>
      </c>
      <c r="M248" s="178" t="s">
        <v>322</v>
      </c>
      <c r="N248" s="180">
        <v>3.0</v>
      </c>
      <c r="O248" s="80"/>
      <c r="P248" s="179" t="s">
        <v>361</v>
      </c>
      <c r="Q248" s="80"/>
      <c r="R248" s="80"/>
      <c r="S248" s="80"/>
      <c r="T248" s="80"/>
      <c r="U248" s="80"/>
      <c r="V248" s="181">
        <v>46058.0</v>
      </c>
      <c r="W248" s="80"/>
      <c r="X248" s="80"/>
      <c r="Y248" s="60"/>
      <c r="Z248" s="60"/>
      <c r="AA248" s="68" t="s">
        <v>214</v>
      </c>
      <c r="AB248" s="130"/>
      <c r="AC248" s="72" t="s">
        <v>218</v>
      </c>
      <c r="AD248" s="130"/>
    </row>
    <row r="249">
      <c r="A249" s="56">
        <v>31.0</v>
      </c>
      <c r="B249" s="56" t="str">
        <f t="shared" si="3"/>
        <v>ALN140</v>
      </c>
      <c r="C249" s="68" t="s">
        <v>118</v>
      </c>
      <c r="D249" s="180">
        <v>140.0</v>
      </c>
      <c r="E249" s="174">
        <v>2.0</v>
      </c>
      <c r="F249" s="176" t="s">
        <v>360</v>
      </c>
      <c r="G249" s="7" t="str">
        <f t="shared" si="2"/>
        <v>ALN140-A-2-FL</v>
      </c>
      <c r="H249" s="68" t="str">
        <f t="shared" si="4"/>
        <v>ألين - 140</v>
      </c>
      <c r="I249" s="174" t="s">
        <v>294</v>
      </c>
      <c r="J249" s="51" t="s">
        <v>295</v>
      </c>
      <c r="K249" s="173">
        <v>165.0</v>
      </c>
      <c r="L249" s="7">
        <v>1669000.0</v>
      </c>
      <c r="M249" s="178" t="s">
        <v>322</v>
      </c>
      <c r="N249" s="180">
        <v>3.0</v>
      </c>
      <c r="O249" s="80"/>
      <c r="P249" s="179" t="s">
        <v>361</v>
      </c>
      <c r="Q249" s="80"/>
      <c r="R249" s="80"/>
      <c r="S249" s="80"/>
      <c r="T249" s="80"/>
      <c r="U249" s="80"/>
      <c r="V249" s="181">
        <v>46059.0</v>
      </c>
      <c r="W249" s="80"/>
      <c r="X249" s="80"/>
      <c r="Y249" s="60"/>
      <c r="Z249" s="60"/>
      <c r="AA249" s="68" t="s">
        <v>214</v>
      </c>
      <c r="AB249" s="130"/>
      <c r="AC249" s="72" t="s">
        <v>218</v>
      </c>
      <c r="AD249" s="130"/>
    </row>
    <row r="250">
      <c r="A250" s="56">
        <v>31.0</v>
      </c>
      <c r="B250" s="56" t="str">
        <f t="shared" si="3"/>
        <v>ALN140</v>
      </c>
      <c r="C250" s="68" t="s">
        <v>118</v>
      </c>
      <c r="D250" s="180">
        <v>140.0</v>
      </c>
      <c r="E250" s="174">
        <v>2.0</v>
      </c>
      <c r="F250" s="176" t="s">
        <v>360</v>
      </c>
      <c r="G250" s="7" t="str">
        <f t="shared" si="2"/>
        <v>ALN140-B-2-FL</v>
      </c>
      <c r="H250" s="68" t="str">
        <f t="shared" si="4"/>
        <v>ألين - 140</v>
      </c>
      <c r="I250" s="174" t="s">
        <v>303</v>
      </c>
      <c r="J250" s="51" t="s">
        <v>295</v>
      </c>
      <c r="K250" s="173">
        <v>160.0</v>
      </c>
      <c r="L250" s="7">
        <v>1459000.0</v>
      </c>
      <c r="M250" s="178" t="s">
        <v>322</v>
      </c>
      <c r="N250" s="180">
        <v>3.0</v>
      </c>
      <c r="O250" s="80"/>
      <c r="P250" s="179" t="s">
        <v>361</v>
      </c>
      <c r="Q250" s="80"/>
      <c r="R250" s="80"/>
      <c r="S250" s="80"/>
      <c r="T250" s="80"/>
      <c r="U250" s="80"/>
      <c r="V250" s="181">
        <v>46060.0</v>
      </c>
      <c r="W250" s="80"/>
      <c r="X250" s="80"/>
      <c r="Y250" s="60"/>
      <c r="Z250" s="60"/>
      <c r="AA250" s="68" t="s">
        <v>214</v>
      </c>
      <c r="AB250" s="130"/>
      <c r="AC250" s="72" t="s">
        <v>218</v>
      </c>
      <c r="AD250" s="130"/>
    </row>
    <row r="251">
      <c r="A251" s="56">
        <v>31.0</v>
      </c>
      <c r="B251" s="56" t="str">
        <f t="shared" si="3"/>
        <v>ALN140</v>
      </c>
      <c r="C251" s="68" t="s">
        <v>118</v>
      </c>
      <c r="D251" s="180">
        <v>140.0</v>
      </c>
      <c r="E251" s="174">
        <v>2.0</v>
      </c>
      <c r="F251" s="176" t="s">
        <v>360</v>
      </c>
      <c r="G251" s="7" t="str">
        <f t="shared" si="2"/>
        <v>ALN140-C-2-FL</v>
      </c>
      <c r="H251" s="68" t="str">
        <f t="shared" si="4"/>
        <v>ألين - 140</v>
      </c>
      <c r="I251" s="174" t="s">
        <v>317</v>
      </c>
      <c r="J251" s="51" t="s">
        <v>295</v>
      </c>
      <c r="K251" s="173">
        <v>72.0</v>
      </c>
      <c r="L251" s="7">
        <v>899000.0</v>
      </c>
      <c r="M251" s="178" t="s">
        <v>322</v>
      </c>
      <c r="N251" s="180">
        <v>3.0</v>
      </c>
      <c r="O251" s="80"/>
      <c r="P251" s="179" t="s">
        <v>361</v>
      </c>
      <c r="Q251" s="80"/>
      <c r="R251" s="80"/>
      <c r="S251" s="80"/>
      <c r="T251" s="80"/>
      <c r="U251" s="80"/>
      <c r="V251" s="181">
        <v>46061.0</v>
      </c>
      <c r="W251" s="80"/>
      <c r="X251" s="80"/>
      <c r="Y251" s="60"/>
      <c r="Z251" s="60"/>
      <c r="AA251" s="68" t="s">
        <v>214</v>
      </c>
      <c r="AB251" s="130"/>
      <c r="AC251" s="72" t="s">
        <v>218</v>
      </c>
      <c r="AD251" s="130"/>
    </row>
    <row r="252">
      <c r="A252" s="56">
        <v>31.0</v>
      </c>
      <c r="B252" s="56" t="str">
        <f t="shared" si="3"/>
        <v>ALN140</v>
      </c>
      <c r="C252" s="68" t="s">
        <v>118</v>
      </c>
      <c r="D252" s="180">
        <v>140.0</v>
      </c>
      <c r="E252" s="174">
        <v>3.0</v>
      </c>
      <c r="F252" s="176" t="s">
        <v>360</v>
      </c>
      <c r="G252" s="7" t="str">
        <f t="shared" si="2"/>
        <v>ALN140-A-3-FL</v>
      </c>
      <c r="H252" s="68" t="str">
        <f t="shared" si="4"/>
        <v>ألين - 140</v>
      </c>
      <c r="I252" s="174" t="s">
        <v>294</v>
      </c>
      <c r="J252" s="51" t="s">
        <v>295</v>
      </c>
      <c r="K252" s="173">
        <v>164.0</v>
      </c>
      <c r="L252" s="7">
        <v>1699000.0</v>
      </c>
      <c r="M252" s="178" t="s">
        <v>322</v>
      </c>
      <c r="N252" s="180">
        <v>3.0</v>
      </c>
      <c r="O252" s="80"/>
      <c r="P252" s="179" t="s">
        <v>361</v>
      </c>
      <c r="Q252" s="80"/>
      <c r="R252" s="80"/>
      <c r="S252" s="80"/>
      <c r="T252" s="80"/>
      <c r="U252" s="80"/>
      <c r="V252" s="181">
        <v>46062.0</v>
      </c>
      <c r="W252" s="80"/>
      <c r="X252" s="80"/>
      <c r="Y252" s="60"/>
      <c r="Z252" s="60"/>
      <c r="AA252" s="68" t="s">
        <v>214</v>
      </c>
      <c r="AB252" s="130"/>
      <c r="AC252" s="72" t="s">
        <v>218</v>
      </c>
      <c r="AD252" s="130"/>
    </row>
    <row r="253">
      <c r="A253" s="56">
        <v>31.0</v>
      </c>
      <c r="B253" s="56" t="str">
        <f t="shared" si="3"/>
        <v>ALN140</v>
      </c>
      <c r="C253" s="68" t="s">
        <v>118</v>
      </c>
      <c r="D253" s="180">
        <v>140.0</v>
      </c>
      <c r="E253" s="174">
        <v>3.0</v>
      </c>
      <c r="F253" s="176" t="s">
        <v>360</v>
      </c>
      <c r="G253" s="7" t="str">
        <f t="shared" si="2"/>
        <v>ALN140-B-3-FL</v>
      </c>
      <c r="H253" s="68" t="str">
        <f t="shared" si="4"/>
        <v>ألين - 140</v>
      </c>
      <c r="I253" s="174" t="s">
        <v>303</v>
      </c>
      <c r="J253" s="51" t="s">
        <v>295</v>
      </c>
      <c r="K253" s="173">
        <v>160.0</v>
      </c>
      <c r="L253" s="7">
        <v>1459000.0</v>
      </c>
      <c r="M253" s="178" t="s">
        <v>322</v>
      </c>
      <c r="N253" s="180">
        <v>3.0</v>
      </c>
      <c r="O253" s="80"/>
      <c r="P253" s="179" t="s">
        <v>361</v>
      </c>
      <c r="Q253" s="80"/>
      <c r="R253" s="80"/>
      <c r="S253" s="80"/>
      <c r="T253" s="80"/>
      <c r="U253" s="80"/>
      <c r="V253" s="181">
        <v>46063.0</v>
      </c>
      <c r="W253" s="80"/>
      <c r="X253" s="80"/>
      <c r="Y253" s="60"/>
      <c r="Z253" s="60"/>
      <c r="AA253" s="68" t="s">
        <v>214</v>
      </c>
      <c r="AB253" s="130"/>
      <c r="AC253" s="72" t="s">
        <v>218</v>
      </c>
      <c r="AD253" s="130"/>
    </row>
    <row r="254">
      <c r="A254" s="56">
        <v>31.0</v>
      </c>
      <c r="B254" s="56" t="str">
        <f t="shared" si="3"/>
        <v>ALN140</v>
      </c>
      <c r="C254" s="68" t="s">
        <v>118</v>
      </c>
      <c r="D254" s="180">
        <v>140.0</v>
      </c>
      <c r="E254" s="174">
        <v>3.0</v>
      </c>
      <c r="F254" s="176" t="s">
        <v>360</v>
      </c>
      <c r="G254" s="7" t="str">
        <f t="shared" si="2"/>
        <v>ALN140-C-3-FL</v>
      </c>
      <c r="H254" s="68" t="str">
        <f t="shared" si="4"/>
        <v>ألين - 140</v>
      </c>
      <c r="I254" s="174" t="s">
        <v>317</v>
      </c>
      <c r="J254" s="51" t="s">
        <v>295</v>
      </c>
      <c r="K254" s="173">
        <v>72.0</v>
      </c>
      <c r="L254" s="7">
        <v>899000.0</v>
      </c>
      <c r="M254" s="178" t="s">
        <v>322</v>
      </c>
      <c r="N254" s="180">
        <v>3.0</v>
      </c>
      <c r="O254" s="80"/>
      <c r="P254" s="179" t="s">
        <v>361</v>
      </c>
      <c r="Q254" s="80"/>
      <c r="R254" s="80"/>
      <c r="S254" s="80"/>
      <c r="T254" s="80"/>
      <c r="U254" s="80"/>
      <c r="V254" s="181">
        <v>46064.0</v>
      </c>
      <c r="W254" s="80"/>
      <c r="X254" s="80"/>
      <c r="Y254" s="60"/>
      <c r="Z254" s="60"/>
      <c r="AA254" s="68" t="s">
        <v>214</v>
      </c>
      <c r="AB254" s="130"/>
      <c r="AC254" s="72" t="s">
        <v>218</v>
      </c>
      <c r="AD254" s="130"/>
    </row>
    <row r="255">
      <c r="A255" s="56">
        <v>32.0</v>
      </c>
      <c r="B255" s="56" t="str">
        <f t="shared" si="3"/>
        <v>ALN156</v>
      </c>
      <c r="C255" s="68" t="s">
        <v>118</v>
      </c>
      <c r="D255" s="180">
        <v>156.0</v>
      </c>
      <c r="E255" s="174">
        <v>1.0</v>
      </c>
      <c r="F255" s="176" t="s">
        <v>360</v>
      </c>
      <c r="G255" s="7" t="str">
        <f t="shared" si="2"/>
        <v>ALN156-A-1-FL</v>
      </c>
      <c r="H255" s="68" t="str">
        <f t="shared" si="4"/>
        <v>ألين - 156</v>
      </c>
      <c r="I255" s="174" t="s">
        <v>294</v>
      </c>
      <c r="J255" s="51" t="s">
        <v>295</v>
      </c>
      <c r="K255" s="173">
        <v>146.0</v>
      </c>
      <c r="L255" s="7">
        <v>1599000.0</v>
      </c>
      <c r="M255" s="178" t="s">
        <v>322</v>
      </c>
      <c r="N255" s="180">
        <v>3.0</v>
      </c>
      <c r="O255" s="180">
        <v>4.0</v>
      </c>
      <c r="P255" s="179" t="s">
        <v>361</v>
      </c>
      <c r="Q255" s="80"/>
      <c r="R255" s="80"/>
      <c r="S255" s="80"/>
      <c r="T255" s="80"/>
      <c r="U255" s="80"/>
      <c r="V255" s="181">
        <v>46065.0</v>
      </c>
      <c r="W255" s="80"/>
      <c r="X255" s="180" t="s">
        <v>220</v>
      </c>
      <c r="Y255" s="60"/>
      <c r="Z255" s="60"/>
      <c r="AA255" s="68" t="s">
        <v>221</v>
      </c>
      <c r="AB255" s="130"/>
      <c r="AC255" s="72" t="s">
        <v>222</v>
      </c>
      <c r="AD255" s="130"/>
    </row>
    <row r="256">
      <c r="A256" s="56">
        <v>32.0</v>
      </c>
      <c r="B256" s="56" t="str">
        <f t="shared" si="3"/>
        <v>ALN156</v>
      </c>
      <c r="C256" s="68" t="s">
        <v>118</v>
      </c>
      <c r="D256" s="180">
        <v>156.0</v>
      </c>
      <c r="E256" s="174">
        <v>1.0</v>
      </c>
      <c r="F256" s="176" t="s">
        <v>360</v>
      </c>
      <c r="G256" s="7" t="str">
        <f t="shared" si="2"/>
        <v>ALN156-B-1-FL</v>
      </c>
      <c r="H256" s="68" t="str">
        <f t="shared" si="4"/>
        <v>ألين - 156</v>
      </c>
      <c r="I256" s="174" t="s">
        <v>303</v>
      </c>
      <c r="J256" s="51" t="s">
        <v>295</v>
      </c>
      <c r="K256" s="173">
        <v>141.0</v>
      </c>
      <c r="L256" s="7">
        <v>1399000.0</v>
      </c>
      <c r="M256" s="178" t="s">
        <v>322</v>
      </c>
      <c r="N256" s="180">
        <v>3.0</v>
      </c>
      <c r="O256" s="180">
        <v>4.0</v>
      </c>
      <c r="P256" s="179" t="s">
        <v>361</v>
      </c>
      <c r="Q256" s="80"/>
      <c r="R256" s="80"/>
      <c r="S256" s="80"/>
      <c r="T256" s="80"/>
      <c r="U256" s="80"/>
      <c r="V256" s="181">
        <v>46066.0</v>
      </c>
      <c r="W256" s="80"/>
      <c r="X256" s="80"/>
      <c r="Y256" s="60"/>
      <c r="Z256" s="60"/>
      <c r="AA256" s="68" t="s">
        <v>221</v>
      </c>
      <c r="AB256" s="130"/>
      <c r="AC256" s="72" t="s">
        <v>222</v>
      </c>
      <c r="AD256" s="130"/>
    </row>
    <row r="257">
      <c r="A257" s="56">
        <v>32.0</v>
      </c>
      <c r="B257" s="56" t="str">
        <f t="shared" si="3"/>
        <v>ALN156</v>
      </c>
      <c r="C257" s="68" t="s">
        <v>118</v>
      </c>
      <c r="D257" s="180">
        <v>156.0</v>
      </c>
      <c r="E257" s="174">
        <v>1.0</v>
      </c>
      <c r="F257" s="176" t="s">
        <v>360</v>
      </c>
      <c r="G257" s="7" t="str">
        <f t="shared" si="2"/>
        <v>ALN156-C-1-FL</v>
      </c>
      <c r="H257" s="68" t="str">
        <f t="shared" si="4"/>
        <v>ألين - 156</v>
      </c>
      <c r="I257" s="174" t="s">
        <v>317</v>
      </c>
      <c r="J257" s="51" t="s">
        <v>295</v>
      </c>
      <c r="K257" s="173">
        <v>68.0</v>
      </c>
      <c r="L257" s="7">
        <v>899000.0</v>
      </c>
      <c r="M257" s="178" t="s">
        <v>322</v>
      </c>
      <c r="N257" s="180">
        <v>3.0</v>
      </c>
      <c r="O257" s="180">
        <v>4.0</v>
      </c>
      <c r="P257" s="179" t="s">
        <v>361</v>
      </c>
      <c r="Q257" s="80"/>
      <c r="R257" s="80"/>
      <c r="S257" s="80"/>
      <c r="T257" s="80"/>
      <c r="U257" s="80"/>
      <c r="V257" s="181">
        <v>46067.0</v>
      </c>
      <c r="W257" s="80"/>
      <c r="X257" s="80"/>
      <c r="Y257" s="60"/>
      <c r="Z257" s="60"/>
      <c r="AA257" s="68" t="s">
        <v>221</v>
      </c>
      <c r="AB257" s="130"/>
      <c r="AC257" s="72" t="s">
        <v>222</v>
      </c>
      <c r="AD257" s="130"/>
    </row>
    <row r="258">
      <c r="A258" s="56">
        <v>32.0</v>
      </c>
      <c r="B258" s="56" t="str">
        <f t="shared" si="3"/>
        <v>ALN156</v>
      </c>
      <c r="C258" s="68" t="s">
        <v>118</v>
      </c>
      <c r="D258" s="180">
        <v>156.0</v>
      </c>
      <c r="E258" s="174">
        <v>2.0</v>
      </c>
      <c r="F258" s="176" t="s">
        <v>360</v>
      </c>
      <c r="G258" s="7" t="str">
        <f t="shared" si="2"/>
        <v>ALN156-A-2-FL</v>
      </c>
      <c r="H258" s="68" t="str">
        <f t="shared" si="4"/>
        <v>ألين - 156</v>
      </c>
      <c r="I258" s="174" t="s">
        <v>294</v>
      </c>
      <c r="J258" s="51" t="s">
        <v>295</v>
      </c>
      <c r="K258" s="173">
        <v>148.0</v>
      </c>
      <c r="L258" s="7">
        <v>1599000.0</v>
      </c>
      <c r="M258" s="178" t="s">
        <v>322</v>
      </c>
      <c r="N258" s="180">
        <v>3.0</v>
      </c>
      <c r="O258" s="180">
        <v>4.0</v>
      </c>
      <c r="P258" s="179" t="s">
        <v>361</v>
      </c>
      <c r="Q258" s="80"/>
      <c r="R258" s="80"/>
      <c r="S258" s="80"/>
      <c r="T258" s="80"/>
      <c r="U258" s="80"/>
      <c r="V258" s="181">
        <v>46068.0</v>
      </c>
      <c r="W258" s="80"/>
      <c r="X258" s="80"/>
      <c r="Y258" s="60"/>
      <c r="Z258" s="60"/>
      <c r="AA258" s="68" t="s">
        <v>221</v>
      </c>
      <c r="AB258" s="130"/>
      <c r="AC258" s="72" t="s">
        <v>222</v>
      </c>
      <c r="AD258" s="130"/>
    </row>
    <row r="259">
      <c r="A259" s="56">
        <v>32.0</v>
      </c>
      <c r="B259" s="56" t="str">
        <f t="shared" si="3"/>
        <v>ALN156</v>
      </c>
      <c r="C259" s="68" t="s">
        <v>118</v>
      </c>
      <c r="D259" s="180">
        <v>156.0</v>
      </c>
      <c r="E259" s="174">
        <v>2.0</v>
      </c>
      <c r="F259" s="176" t="s">
        <v>360</v>
      </c>
      <c r="G259" s="7" t="str">
        <f t="shared" si="2"/>
        <v>ALN156-B-2-FL</v>
      </c>
      <c r="H259" s="68" t="str">
        <f t="shared" si="4"/>
        <v>ألين - 156</v>
      </c>
      <c r="I259" s="174" t="s">
        <v>303</v>
      </c>
      <c r="J259" s="51" t="s">
        <v>295</v>
      </c>
      <c r="K259" s="173">
        <v>151.0</v>
      </c>
      <c r="L259" s="7">
        <v>1499000.0</v>
      </c>
      <c r="M259" s="178" t="s">
        <v>322</v>
      </c>
      <c r="N259" s="180">
        <v>3.0</v>
      </c>
      <c r="O259" s="180">
        <v>4.0</v>
      </c>
      <c r="P259" s="179" t="s">
        <v>361</v>
      </c>
      <c r="Q259" s="80"/>
      <c r="R259" s="80"/>
      <c r="S259" s="80"/>
      <c r="T259" s="80"/>
      <c r="U259" s="80"/>
      <c r="V259" s="181">
        <v>46069.0</v>
      </c>
      <c r="W259" s="80"/>
      <c r="X259" s="80"/>
      <c r="Y259" s="60"/>
      <c r="Z259" s="60"/>
      <c r="AA259" s="68" t="s">
        <v>221</v>
      </c>
      <c r="AB259" s="130"/>
      <c r="AC259" s="72" t="s">
        <v>222</v>
      </c>
      <c r="AD259" s="130"/>
    </row>
    <row r="260">
      <c r="A260" s="56">
        <v>32.0</v>
      </c>
      <c r="B260" s="56" t="str">
        <f t="shared" si="3"/>
        <v>ALN156</v>
      </c>
      <c r="C260" s="68" t="s">
        <v>118</v>
      </c>
      <c r="D260" s="180">
        <v>156.0</v>
      </c>
      <c r="E260" s="174">
        <v>2.0</v>
      </c>
      <c r="F260" s="176" t="s">
        <v>360</v>
      </c>
      <c r="G260" s="7" t="str">
        <f t="shared" si="2"/>
        <v>ALN156-C-2-FL</v>
      </c>
      <c r="H260" s="68" t="str">
        <f t="shared" si="4"/>
        <v>ألين - 156</v>
      </c>
      <c r="I260" s="174" t="s">
        <v>317</v>
      </c>
      <c r="J260" s="51" t="s">
        <v>295</v>
      </c>
      <c r="K260" s="173">
        <v>68.0</v>
      </c>
      <c r="L260" s="7">
        <v>899000.0</v>
      </c>
      <c r="M260" s="178" t="s">
        <v>322</v>
      </c>
      <c r="N260" s="180">
        <v>3.0</v>
      </c>
      <c r="O260" s="180">
        <v>4.0</v>
      </c>
      <c r="P260" s="179" t="s">
        <v>361</v>
      </c>
      <c r="Q260" s="80"/>
      <c r="R260" s="80"/>
      <c r="S260" s="80"/>
      <c r="T260" s="80"/>
      <c r="U260" s="80"/>
      <c r="V260" s="181">
        <v>46070.0</v>
      </c>
      <c r="W260" s="80"/>
      <c r="X260" s="80"/>
      <c r="Y260" s="60"/>
      <c r="Z260" s="60"/>
      <c r="AA260" s="68" t="s">
        <v>221</v>
      </c>
      <c r="AB260" s="130"/>
      <c r="AC260" s="72" t="s">
        <v>222</v>
      </c>
      <c r="AD260" s="130"/>
    </row>
    <row r="261">
      <c r="A261" s="56">
        <v>32.0</v>
      </c>
      <c r="B261" s="56" t="str">
        <f t="shared" si="3"/>
        <v>ALN156</v>
      </c>
      <c r="C261" s="68" t="s">
        <v>118</v>
      </c>
      <c r="D261" s="180">
        <v>156.0</v>
      </c>
      <c r="E261" s="174">
        <v>3.0</v>
      </c>
      <c r="F261" s="176" t="s">
        <v>360</v>
      </c>
      <c r="G261" s="7" t="str">
        <f t="shared" si="2"/>
        <v>ALN156-A-3-FL</v>
      </c>
      <c r="H261" s="68" t="str">
        <f t="shared" si="4"/>
        <v>ألين - 156</v>
      </c>
      <c r="I261" s="174" t="s">
        <v>294</v>
      </c>
      <c r="J261" s="51" t="s">
        <v>295</v>
      </c>
      <c r="K261" s="173">
        <v>141.0</v>
      </c>
      <c r="L261" s="7">
        <v>1549000.0</v>
      </c>
      <c r="M261" s="178" t="s">
        <v>322</v>
      </c>
      <c r="N261" s="180">
        <v>3.0</v>
      </c>
      <c r="O261" s="180">
        <v>4.0</v>
      </c>
      <c r="P261" s="179" t="s">
        <v>361</v>
      </c>
      <c r="Q261" s="80"/>
      <c r="R261" s="80"/>
      <c r="S261" s="80"/>
      <c r="T261" s="80"/>
      <c r="U261" s="80"/>
      <c r="V261" s="181">
        <v>46071.0</v>
      </c>
      <c r="W261" s="80"/>
      <c r="X261" s="80"/>
      <c r="Y261" s="60"/>
      <c r="Z261" s="60"/>
      <c r="AA261" s="68" t="s">
        <v>221</v>
      </c>
      <c r="AB261" s="130"/>
      <c r="AC261" s="72" t="s">
        <v>222</v>
      </c>
      <c r="AD261" s="130"/>
    </row>
    <row r="262">
      <c r="A262" s="56">
        <v>32.0</v>
      </c>
      <c r="B262" s="56" t="str">
        <f t="shared" si="3"/>
        <v>ALN156</v>
      </c>
      <c r="C262" s="68" t="s">
        <v>118</v>
      </c>
      <c r="D262" s="180">
        <v>156.0</v>
      </c>
      <c r="E262" s="174">
        <v>3.0</v>
      </c>
      <c r="F262" s="176" t="s">
        <v>360</v>
      </c>
      <c r="G262" s="7" t="str">
        <f t="shared" si="2"/>
        <v>ALN156-B-3-FL</v>
      </c>
      <c r="H262" s="68" t="str">
        <f t="shared" si="4"/>
        <v>ألين - 156</v>
      </c>
      <c r="I262" s="174" t="s">
        <v>303</v>
      </c>
      <c r="J262" s="51" t="s">
        <v>295</v>
      </c>
      <c r="K262" s="173">
        <v>155.0</v>
      </c>
      <c r="L262" s="7">
        <v>1499000.0</v>
      </c>
      <c r="M262" s="178" t="s">
        <v>322</v>
      </c>
      <c r="N262" s="180">
        <v>3.0</v>
      </c>
      <c r="O262" s="180">
        <v>4.0</v>
      </c>
      <c r="P262" s="179" t="s">
        <v>361</v>
      </c>
      <c r="Q262" s="80"/>
      <c r="R262" s="80"/>
      <c r="S262" s="80"/>
      <c r="T262" s="80"/>
      <c r="U262" s="80"/>
      <c r="V262" s="181">
        <v>46072.0</v>
      </c>
      <c r="W262" s="80"/>
      <c r="X262" s="80"/>
      <c r="Y262" s="60"/>
      <c r="Z262" s="60"/>
      <c r="AA262" s="68" t="s">
        <v>221</v>
      </c>
      <c r="AB262" s="130"/>
      <c r="AC262" s="72" t="s">
        <v>222</v>
      </c>
      <c r="AD262" s="130"/>
    </row>
    <row r="263">
      <c r="A263" s="56">
        <v>32.0</v>
      </c>
      <c r="B263" s="56" t="str">
        <f t="shared" si="3"/>
        <v>ALN156</v>
      </c>
      <c r="C263" s="68" t="s">
        <v>118</v>
      </c>
      <c r="D263" s="180">
        <v>156.0</v>
      </c>
      <c r="E263" s="174">
        <v>3.0</v>
      </c>
      <c r="F263" s="176" t="s">
        <v>360</v>
      </c>
      <c r="G263" s="7" t="str">
        <f t="shared" si="2"/>
        <v>ALN156-C-3-FL</v>
      </c>
      <c r="H263" s="68" t="str">
        <f t="shared" si="4"/>
        <v>ألين - 156</v>
      </c>
      <c r="I263" s="174" t="s">
        <v>317</v>
      </c>
      <c r="J263" s="51" t="s">
        <v>295</v>
      </c>
      <c r="K263" s="173">
        <v>76.0</v>
      </c>
      <c r="L263" s="7">
        <v>999000.0</v>
      </c>
      <c r="M263" s="178" t="s">
        <v>322</v>
      </c>
      <c r="N263" s="180">
        <v>3.0</v>
      </c>
      <c r="O263" s="180">
        <v>4.0</v>
      </c>
      <c r="P263" s="179" t="s">
        <v>361</v>
      </c>
      <c r="Q263" s="80"/>
      <c r="R263" s="80"/>
      <c r="S263" s="80"/>
      <c r="T263" s="80"/>
      <c r="U263" s="80"/>
      <c r="V263" s="181">
        <v>46073.0</v>
      </c>
      <c r="W263" s="80"/>
      <c r="X263" s="80"/>
      <c r="Y263" s="60"/>
      <c r="Z263" s="60"/>
      <c r="AA263" s="68" t="s">
        <v>221</v>
      </c>
      <c r="AB263" s="130"/>
      <c r="AC263" s="72" t="s">
        <v>222</v>
      </c>
      <c r="AD263" s="130"/>
    </row>
    <row r="264">
      <c r="A264" s="7">
        <v>33.0</v>
      </c>
      <c r="B264" s="7" t="s">
        <v>223</v>
      </c>
      <c r="C264" s="8" t="s">
        <v>225</v>
      </c>
      <c r="D264" s="7"/>
      <c r="E264" s="78" t="s">
        <v>362</v>
      </c>
      <c r="F264" s="9" t="str">
        <f t="shared" ref="F264:F478" si="5">IF(J264="دور","FL",
IF(J264="شقة","AP",
IF(J264="فيلا","VI",
IF(J264="تاون هاوس","TH",""))))
</f>
        <v>AP</v>
      </c>
      <c r="G264" s="7" t="str">
        <f t="shared" si="2"/>
        <v>SMD-A-A1-AP</v>
      </c>
      <c r="H264" s="8" t="s">
        <v>225</v>
      </c>
      <c r="I264" s="7" t="s">
        <v>294</v>
      </c>
      <c r="J264" s="8" t="s">
        <v>301</v>
      </c>
      <c r="K264" s="141">
        <v>90.0</v>
      </c>
      <c r="L264" s="7">
        <v>730000.0</v>
      </c>
      <c r="M264" s="8" t="s">
        <v>296</v>
      </c>
      <c r="N264" s="137">
        <v>2.0</v>
      </c>
      <c r="O264" s="78">
        <v>2.0</v>
      </c>
      <c r="P264" s="12" t="s">
        <v>363</v>
      </c>
      <c r="Q264" s="183"/>
      <c r="R264" s="8" t="s">
        <v>307</v>
      </c>
      <c r="S264" s="8" t="s">
        <v>298</v>
      </c>
      <c r="T264" s="13"/>
      <c r="U264" s="14"/>
      <c r="V264" s="15"/>
      <c r="W264" s="16"/>
      <c r="X264" s="71" t="s">
        <v>226</v>
      </c>
      <c r="Y264" s="8" t="s">
        <v>364</v>
      </c>
      <c r="Z264" s="8" t="s">
        <v>87</v>
      </c>
      <c r="AA264" s="12" t="s">
        <v>197</v>
      </c>
      <c r="AB264" s="130"/>
      <c r="AC264" s="17"/>
      <c r="AD264" s="17"/>
    </row>
    <row r="265">
      <c r="A265" s="7">
        <v>33.0</v>
      </c>
      <c r="B265" s="7" t="s">
        <v>223</v>
      </c>
      <c r="C265" s="8" t="s">
        <v>225</v>
      </c>
      <c r="D265" s="13"/>
      <c r="E265" s="57" t="s">
        <v>365</v>
      </c>
      <c r="F265" s="9" t="str">
        <f t="shared" si="5"/>
        <v>AP</v>
      </c>
      <c r="G265" s="7" t="str">
        <f t="shared" si="2"/>
        <v>SMD-A-A2-AP</v>
      </c>
      <c r="H265" s="8" t="s">
        <v>225</v>
      </c>
      <c r="I265" s="7" t="s">
        <v>294</v>
      </c>
      <c r="J265" s="8" t="s">
        <v>301</v>
      </c>
      <c r="K265" s="141">
        <v>133.0</v>
      </c>
      <c r="L265" s="7">
        <v>910000.0</v>
      </c>
      <c r="M265" s="8" t="s">
        <v>296</v>
      </c>
      <c r="N265" s="57">
        <v>3.0</v>
      </c>
      <c r="O265" s="57">
        <v>3.0</v>
      </c>
      <c r="P265" s="12" t="s">
        <v>363</v>
      </c>
      <c r="Q265" s="57">
        <v>52.0</v>
      </c>
      <c r="R265" s="8" t="s">
        <v>307</v>
      </c>
      <c r="S265" s="8" t="s">
        <v>298</v>
      </c>
      <c r="T265" s="13"/>
      <c r="U265" s="14"/>
      <c r="V265" s="15"/>
      <c r="W265" s="16" t="s">
        <v>366</v>
      </c>
      <c r="X265" s="71" t="s">
        <v>226</v>
      </c>
      <c r="Y265" s="8" t="s">
        <v>364</v>
      </c>
      <c r="Z265" s="8" t="s">
        <v>87</v>
      </c>
      <c r="AA265" s="12" t="s">
        <v>197</v>
      </c>
      <c r="AB265" s="80"/>
      <c r="AC265" s="17"/>
      <c r="AD265" s="17"/>
    </row>
    <row r="266">
      <c r="A266" s="7">
        <v>33.0</v>
      </c>
      <c r="B266" s="7" t="s">
        <v>223</v>
      </c>
      <c r="C266" s="8" t="s">
        <v>225</v>
      </c>
      <c r="D266" s="13"/>
      <c r="E266" s="57" t="s">
        <v>367</v>
      </c>
      <c r="F266" s="9" t="str">
        <f t="shared" si="5"/>
        <v>AP</v>
      </c>
      <c r="G266" s="7" t="str">
        <f t="shared" si="2"/>
        <v>SMD-A-A3-AP</v>
      </c>
      <c r="H266" s="8" t="s">
        <v>225</v>
      </c>
      <c r="I266" s="7" t="s">
        <v>294</v>
      </c>
      <c r="J266" s="8" t="s">
        <v>301</v>
      </c>
      <c r="K266" s="141">
        <v>130.0</v>
      </c>
      <c r="L266" s="7">
        <v>870000.0</v>
      </c>
      <c r="M266" s="8" t="s">
        <v>296</v>
      </c>
      <c r="N266" s="57">
        <v>3.0</v>
      </c>
      <c r="O266" s="57">
        <v>3.0</v>
      </c>
      <c r="P266" s="12" t="s">
        <v>363</v>
      </c>
      <c r="Q266" s="57">
        <v>18.0</v>
      </c>
      <c r="R266" s="8" t="s">
        <v>307</v>
      </c>
      <c r="S266" s="8" t="s">
        <v>298</v>
      </c>
      <c r="T266" s="13"/>
      <c r="U266" s="14"/>
      <c r="V266" s="15"/>
      <c r="W266" s="16"/>
      <c r="X266" s="71" t="s">
        <v>226</v>
      </c>
      <c r="Y266" s="8" t="s">
        <v>364</v>
      </c>
      <c r="Z266" s="8" t="s">
        <v>87</v>
      </c>
      <c r="AA266" s="12" t="s">
        <v>197</v>
      </c>
      <c r="AB266" s="80"/>
      <c r="AC266" s="17"/>
      <c r="AD266" s="17"/>
    </row>
    <row r="267">
      <c r="A267" s="7">
        <v>33.0</v>
      </c>
      <c r="B267" s="7" t="s">
        <v>223</v>
      </c>
      <c r="C267" s="8" t="s">
        <v>225</v>
      </c>
      <c r="D267" s="13"/>
      <c r="E267" s="57" t="s">
        <v>368</v>
      </c>
      <c r="F267" s="9" t="str">
        <f t="shared" si="5"/>
        <v>AP</v>
      </c>
      <c r="G267" s="7" t="str">
        <f t="shared" si="2"/>
        <v>SMD-A-A4-AP</v>
      </c>
      <c r="H267" s="8" t="s">
        <v>225</v>
      </c>
      <c r="I267" s="7" t="s">
        <v>294</v>
      </c>
      <c r="J267" s="8" t="s">
        <v>301</v>
      </c>
      <c r="K267" s="141">
        <v>136.0</v>
      </c>
      <c r="L267" s="7">
        <v>830000.0</v>
      </c>
      <c r="M267" s="8" t="s">
        <v>296</v>
      </c>
      <c r="N267" s="57">
        <v>3.0</v>
      </c>
      <c r="O267" s="57">
        <v>3.0</v>
      </c>
      <c r="P267" s="12" t="s">
        <v>363</v>
      </c>
      <c r="Q267" s="80"/>
      <c r="R267" s="8" t="s">
        <v>307</v>
      </c>
      <c r="S267" s="8" t="s">
        <v>308</v>
      </c>
      <c r="T267" s="13"/>
      <c r="U267" s="14"/>
      <c r="V267" s="15"/>
      <c r="W267" s="16" t="s">
        <v>369</v>
      </c>
      <c r="X267" s="71" t="s">
        <v>226</v>
      </c>
      <c r="Y267" s="8" t="s">
        <v>364</v>
      </c>
      <c r="Z267" s="8" t="s">
        <v>87</v>
      </c>
      <c r="AA267" s="12" t="s">
        <v>197</v>
      </c>
      <c r="AB267" s="57" t="s">
        <v>370</v>
      </c>
      <c r="AC267" s="17"/>
      <c r="AD267" s="17"/>
    </row>
    <row r="268">
      <c r="A268" s="7">
        <v>33.0</v>
      </c>
      <c r="B268" s="7" t="s">
        <v>223</v>
      </c>
      <c r="C268" s="8" t="s">
        <v>225</v>
      </c>
      <c r="D268" s="13"/>
      <c r="E268" s="57" t="s">
        <v>371</v>
      </c>
      <c r="F268" s="9" t="str">
        <f t="shared" si="5"/>
        <v>AP</v>
      </c>
      <c r="G268" s="7" t="str">
        <f t="shared" si="2"/>
        <v>SMD-A-A5-AP</v>
      </c>
      <c r="H268" s="8" t="s">
        <v>225</v>
      </c>
      <c r="I268" s="7" t="s">
        <v>294</v>
      </c>
      <c r="J268" s="8" t="s">
        <v>301</v>
      </c>
      <c r="K268" s="141">
        <v>136.0</v>
      </c>
      <c r="L268" s="7">
        <v>830000.0</v>
      </c>
      <c r="M268" s="8" t="s">
        <v>296</v>
      </c>
      <c r="N268" s="57">
        <v>3.0</v>
      </c>
      <c r="O268" s="57">
        <v>3.0</v>
      </c>
      <c r="P268" s="12" t="s">
        <v>363</v>
      </c>
      <c r="Q268" s="80"/>
      <c r="R268" s="8" t="s">
        <v>307</v>
      </c>
      <c r="S268" s="8" t="s">
        <v>308</v>
      </c>
      <c r="T268" s="13"/>
      <c r="U268" s="14"/>
      <c r="V268" s="15"/>
      <c r="W268" s="16" t="s">
        <v>369</v>
      </c>
      <c r="X268" s="71" t="s">
        <v>226</v>
      </c>
      <c r="Y268" s="8" t="s">
        <v>364</v>
      </c>
      <c r="Z268" s="8" t="s">
        <v>87</v>
      </c>
      <c r="AA268" s="12" t="s">
        <v>197</v>
      </c>
      <c r="AB268" s="57" t="s">
        <v>372</v>
      </c>
      <c r="AC268" s="17"/>
      <c r="AD268" s="17"/>
    </row>
    <row r="269">
      <c r="A269" s="7">
        <v>33.0</v>
      </c>
      <c r="B269" s="7" t="s">
        <v>223</v>
      </c>
      <c r="C269" s="8" t="s">
        <v>225</v>
      </c>
      <c r="D269" s="13"/>
      <c r="E269" s="57" t="s">
        <v>373</v>
      </c>
      <c r="F269" s="9" t="str">
        <f t="shared" si="5"/>
        <v>AP</v>
      </c>
      <c r="G269" s="7" t="str">
        <f t="shared" si="2"/>
        <v>SMD-A-A6-AP</v>
      </c>
      <c r="H269" s="8" t="s">
        <v>225</v>
      </c>
      <c r="I269" s="7" t="s">
        <v>294</v>
      </c>
      <c r="J269" s="8" t="s">
        <v>301</v>
      </c>
      <c r="K269" s="141">
        <v>149.0</v>
      </c>
      <c r="L269" s="7">
        <v>860000.0</v>
      </c>
      <c r="M269" s="8" t="s">
        <v>296</v>
      </c>
      <c r="N269" s="57">
        <v>3.0</v>
      </c>
      <c r="O269" s="57">
        <v>3.0</v>
      </c>
      <c r="P269" s="12" t="s">
        <v>363</v>
      </c>
      <c r="Q269" s="80"/>
      <c r="R269" s="8" t="s">
        <v>307</v>
      </c>
      <c r="S269" s="8" t="s">
        <v>308</v>
      </c>
      <c r="T269" s="13"/>
      <c r="U269" s="14"/>
      <c r="V269" s="15"/>
      <c r="W269" s="16" t="s">
        <v>369</v>
      </c>
      <c r="X269" s="71" t="s">
        <v>226</v>
      </c>
      <c r="Y269" s="8" t="s">
        <v>364</v>
      </c>
      <c r="Z269" s="8" t="s">
        <v>87</v>
      </c>
      <c r="AA269" s="12" t="s">
        <v>197</v>
      </c>
      <c r="AB269" s="57" t="s">
        <v>374</v>
      </c>
      <c r="AC269" s="17"/>
      <c r="AD269" s="17"/>
    </row>
    <row r="270">
      <c r="A270" s="7">
        <v>33.0</v>
      </c>
      <c r="B270" s="7" t="s">
        <v>223</v>
      </c>
      <c r="C270" s="8" t="s">
        <v>225</v>
      </c>
      <c r="D270" s="13"/>
      <c r="E270" s="57" t="s">
        <v>375</v>
      </c>
      <c r="F270" s="9" t="str">
        <f t="shared" si="5"/>
        <v>AP</v>
      </c>
      <c r="G270" s="7" t="str">
        <f t="shared" si="2"/>
        <v>SMD-A-A7-AP</v>
      </c>
      <c r="H270" s="8" t="s">
        <v>225</v>
      </c>
      <c r="I270" s="7" t="s">
        <v>294</v>
      </c>
      <c r="J270" s="8" t="s">
        <v>301</v>
      </c>
      <c r="K270" s="141">
        <v>136.0</v>
      </c>
      <c r="L270" s="7">
        <v>830000.0</v>
      </c>
      <c r="M270" s="8" t="s">
        <v>296</v>
      </c>
      <c r="N270" s="57">
        <v>3.0</v>
      </c>
      <c r="O270" s="57">
        <v>3.0</v>
      </c>
      <c r="P270" s="12" t="s">
        <v>363</v>
      </c>
      <c r="Q270" s="80"/>
      <c r="R270" s="8" t="s">
        <v>307</v>
      </c>
      <c r="S270" s="8" t="s">
        <v>318</v>
      </c>
      <c r="T270" s="13"/>
      <c r="U270" s="14"/>
      <c r="V270" s="15"/>
      <c r="W270" s="16" t="s">
        <v>369</v>
      </c>
      <c r="X270" s="71" t="s">
        <v>226</v>
      </c>
      <c r="Y270" s="8" t="s">
        <v>364</v>
      </c>
      <c r="Z270" s="8" t="s">
        <v>87</v>
      </c>
      <c r="AA270" s="12" t="s">
        <v>197</v>
      </c>
      <c r="AB270" s="57" t="s">
        <v>370</v>
      </c>
      <c r="AC270" s="17"/>
      <c r="AD270" s="17"/>
    </row>
    <row r="271">
      <c r="A271" s="7">
        <v>33.0</v>
      </c>
      <c r="B271" s="7" t="s">
        <v>223</v>
      </c>
      <c r="C271" s="8" t="s">
        <v>225</v>
      </c>
      <c r="D271" s="13"/>
      <c r="E271" s="57" t="s">
        <v>376</v>
      </c>
      <c r="F271" s="9" t="str">
        <f t="shared" si="5"/>
        <v>AP</v>
      </c>
      <c r="G271" s="7" t="str">
        <f t="shared" si="2"/>
        <v>SMD-A-A8-AP</v>
      </c>
      <c r="H271" s="8" t="s">
        <v>225</v>
      </c>
      <c r="I271" s="7" t="s">
        <v>294</v>
      </c>
      <c r="J271" s="8" t="s">
        <v>301</v>
      </c>
      <c r="K271" s="141">
        <v>130.0</v>
      </c>
      <c r="L271" s="7">
        <v>820000.0</v>
      </c>
      <c r="M271" s="8" t="s">
        <v>296</v>
      </c>
      <c r="N271" s="57">
        <v>3.0</v>
      </c>
      <c r="O271" s="57">
        <v>3.0</v>
      </c>
      <c r="P271" s="12" t="s">
        <v>363</v>
      </c>
      <c r="Q271" s="80"/>
      <c r="R271" s="8" t="s">
        <v>307</v>
      </c>
      <c r="S271" s="8" t="s">
        <v>318</v>
      </c>
      <c r="T271" s="13"/>
      <c r="U271" s="14"/>
      <c r="V271" s="15"/>
      <c r="W271" s="16" t="s">
        <v>369</v>
      </c>
      <c r="X271" s="71" t="s">
        <v>226</v>
      </c>
      <c r="Y271" s="8" t="s">
        <v>364</v>
      </c>
      <c r="Z271" s="8" t="s">
        <v>87</v>
      </c>
      <c r="AA271" s="12" t="s">
        <v>197</v>
      </c>
      <c r="AB271" s="57" t="s">
        <v>372</v>
      </c>
      <c r="AC271" s="17"/>
      <c r="AD271" s="17"/>
    </row>
    <row r="272">
      <c r="A272" s="7">
        <v>33.0</v>
      </c>
      <c r="B272" s="7" t="s">
        <v>223</v>
      </c>
      <c r="C272" s="8" t="s">
        <v>225</v>
      </c>
      <c r="D272" s="13"/>
      <c r="E272" s="57" t="s">
        <v>377</v>
      </c>
      <c r="F272" s="9" t="str">
        <f t="shared" si="5"/>
        <v>AP</v>
      </c>
      <c r="G272" s="7" t="str">
        <f t="shared" si="2"/>
        <v>SMD-A-A9-AP</v>
      </c>
      <c r="H272" s="8" t="s">
        <v>225</v>
      </c>
      <c r="I272" s="7" t="s">
        <v>294</v>
      </c>
      <c r="J272" s="8" t="s">
        <v>301</v>
      </c>
      <c r="K272" s="141">
        <v>149.0</v>
      </c>
      <c r="L272" s="7">
        <v>860000.0</v>
      </c>
      <c r="M272" s="8" t="s">
        <v>296</v>
      </c>
      <c r="N272" s="57">
        <v>3.0</v>
      </c>
      <c r="O272" s="57">
        <v>3.0</v>
      </c>
      <c r="P272" s="12" t="s">
        <v>363</v>
      </c>
      <c r="Q272" s="80"/>
      <c r="R272" s="8" t="s">
        <v>307</v>
      </c>
      <c r="S272" s="8" t="s">
        <v>318</v>
      </c>
      <c r="T272" s="13"/>
      <c r="U272" s="14"/>
      <c r="V272" s="15"/>
      <c r="W272" s="16" t="s">
        <v>369</v>
      </c>
      <c r="X272" s="71" t="s">
        <v>226</v>
      </c>
      <c r="Y272" s="8" t="s">
        <v>364</v>
      </c>
      <c r="Z272" s="8" t="s">
        <v>87</v>
      </c>
      <c r="AA272" s="12" t="s">
        <v>197</v>
      </c>
      <c r="AB272" s="57" t="s">
        <v>374</v>
      </c>
      <c r="AC272" s="17"/>
      <c r="AD272" s="17"/>
    </row>
    <row r="273">
      <c r="A273" s="7">
        <v>33.0</v>
      </c>
      <c r="B273" s="7" t="s">
        <v>223</v>
      </c>
      <c r="C273" s="8" t="s">
        <v>225</v>
      </c>
      <c r="D273" s="13"/>
      <c r="E273" s="57" t="s">
        <v>378</v>
      </c>
      <c r="F273" s="9" t="str">
        <f t="shared" si="5"/>
        <v>AP</v>
      </c>
      <c r="G273" s="7" t="str">
        <f t="shared" si="2"/>
        <v>SMD-A-A10-AP</v>
      </c>
      <c r="H273" s="8" t="s">
        <v>225</v>
      </c>
      <c r="I273" s="7" t="s">
        <v>294</v>
      </c>
      <c r="J273" s="8" t="s">
        <v>301</v>
      </c>
      <c r="K273" s="141">
        <v>110.0</v>
      </c>
      <c r="L273" s="7">
        <v>840000.0</v>
      </c>
      <c r="M273" s="8" t="s">
        <v>296</v>
      </c>
      <c r="N273" s="57">
        <v>2.0</v>
      </c>
      <c r="O273" s="57">
        <v>3.0</v>
      </c>
      <c r="P273" s="12" t="s">
        <v>379</v>
      </c>
      <c r="Q273" s="80"/>
      <c r="R273" s="8" t="s">
        <v>307</v>
      </c>
      <c r="S273" s="8" t="s">
        <v>380</v>
      </c>
      <c r="T273" s="13"/>
      <c r="U273" s="14"/>
      <c r="V273" s="15"/>
      <c r="W273" s="16" t="s">
        <v>381</v>
      </c>
      <c r="X273" s="71" t="s">
        <v>226</v>
      </c>
      <c r="Y273" s="8" t="s">
        <v>364</v>
      </c>
      <c r="Z273" s="8" t="s">
        <v>87</v>
      </c>
      <c r="AA273" s="12" t="s">
        <v>197</v>
      </c>
      <c r="AB273" s="57" t="s">
        <v>370</v>
      </c>
      <c r="AC273" s="17"/>
      <c r="AD273" s="17"/>
    </row>
    <row r="274">
      <c r="A274" s="7">
        <v>33.0</v>
      </c>
      <c r="B274" s="7" t="s">
        <v>223</v>
      </c>
      <c r="C274" s="8" t="s">
        <v>225</v>
      </c>
      <c r="D274" s="13"/>
      <c r="E274" s="57" t="s">
        <v>382</v>
      </c>
      <c r="F274" s="9" t="str">
        <f t="shared" si="5"/>
        <v>AP</v>
      </c>
      <c r="G274" s="7" t="str">
        <f t="shared" si="2"/>
        <v>SMD-A-A11-AP</v>
      </c>
      <c r="H274" s="8" t="s">
        <v>225</v>
      </c>
      <c r="I274" s="7" t="s">
        <v>294</v>
      </c>
      <c r="J274" s="8" t="s">
        <v>301</v>
      </c>
      <c r="K274" s="141">
        <v>100.0</v>
      </c>
      <c r="L274" s="7">
        <v>800000.0</v>
      </c>
      <c r="M274" s="8" t="s">
        <v>296</v>
      </c>
      <c r="N274" s="57">
        <v>2.0</v>
      </c>
      <c r="O274" s="57">
        <v>2.0</v>
      </c>
      <c r="P274" s="12" t="s">
        <v>383</v>
      </c>
      <c r="Q274" s="80"/>
      <c r="R274" s="8" t="s">
        <v>307</v>
      </c>
      <c r="S274" s="8" t="s">
        <v>380</v>
      </c>
      <c r="T274" s="13"/>
      <c r="U274" s="14"/>
      <c r="V274" s="15"/>
      <c r="W274" s="16" t="s">
        <v>381</v>
      </c>
      <c r="X274" s="71" t="s">
        <v>226</v>
      </c>
      <c r="Y274" s="8" t="s">
        <v>364</v>
      </c>
      <c r="Z274" s="8" t="s">
        <v>87</v>
      </c>
      <c r="AA274" s="12" t="s">
        <v>197</v>
      </c>
      <c r="AB274" s="57" t="s">
        <v>370</v>
      </c>
      <c r="AC274" s="17"/>
      <c r="AD274" s="17"/>
    </row>
    <row r="275">
      <c r="A275" s="7">
        <v>33.0</v>
      </c>
      <c r="B275" s="7" t="s">
        <v>223</v>
      </c>
      <c r="C275" s="8" t="s">
        <v>225</v>
      </c>
      <c r="D275" s="13"/>
      <c r="E275" s="57" t="s">
        <v>384</v>
      </c>
      <c r="F275" s="9" t="str">
        <f t="shared" si="5"/>
        <v>AP</v>
      </c>
      <c r="G275" s="7" t="str">
        <f t="shared" si="2"/>
        <v>SMD-B-B1-AP</v>
      </c>
      <c r="H275" s="8" t="s">
        <v>225</v>
      </c>
      <c r="I275" s="7" t="s">
        <v>303</v>
      </c>
      <c r="J275" s="8" t="s">
        <v>301</v>
      </c>
      <c r="K275" s="141">
        <v>94.0</v>
      </c>
      <c r="L275" s="7">
        <v>710000.0</v>
      </c>
      <c r="M275" s="8" t="s">
        <v>296</v>
      </c>
      <c r="N275" s="57">
        <v>2.0</v>
      </c>
      <c r="O275" s="57">
        <v>3.0</v>
      </c>
      <c r="P275" s="12" t="s">
        <v>383</v>
      </c>
      <c r="Q275" s="80"/>
      <c r="R275" s="8" t="s">
        <v>307</v>
      </c>
      <c r="S275" s="8" t="s">
        <v>298</v>
      </c>
      <c r="T275" s="13"/>
      <c r="U275" s="14"/>
      <c r="V275" s="15"/>
      <c r="W275" s="16"/>
      <c r="X275" s="71" t="s">
        <v>226</v>
      </c>
      <c r="Y275" s="8" t="s">
        <v>364</v>
      </c>
      <c r="Z275" s="8" t="s">
        <v>87</v>
      </c>
      <c r="AA275" s="12" t="s">
        <v>197</v>
      </c>
      <c r="AB275" s="80"/>
      <c r="AC275" s="17"/>
      <c r="AD275" s="17"/>
    </row>
    <row r="276">
      <c r="A276" s="7">
        <v>33.0</v>
      </c>
      <c r="B276" s="7" t="s">
        <v>223</v>
      </c>
      <c r="C276" s="8" t="s">
        <v>225</v>
      </c>
      <c r="D276" s="13"/>
      <c r="E276" s="57" t="s">
        <v>385</v>
      </c>
      <c r="F276" s="9" t="str">
        <f t="shared" si="5"/>
        <v>AP</v>
      </c>
      <c r="G276" s="7" t="str">
        <f t="shared" si="2"/>
        <v>SMD-B-B2-AP</v>
      </c>
      <c r="H276" s="8" t="s">
        <v>225</v>
      </c>
      <c r="I276" s="7" t="s">
        <v>303</v>
      </c>
      <c r="J276" s="8" t="s">
        <v>301</v>
      </c>
      <c r="K276" s="141">
        <v>120.0</v>
      </c>
      <c r="L276" s="7">
        <v>840000.0</v>
      </c>
      <c r="M276" s="8" t="s">
        <v>296</v>
      </c>
      <c r="N276" s="57">
        <v>3.0</v>
      </c>
      <c r="O276" s="57">
        <v>3.0</v>
      </c>
      <c r="P276" s="12" t="s">
        <v>386</v>
      </c>
      <c r="Q276" s="57">
        <v>29.0</v>
      </c>
      <c r="R276" s="8" t="s">
        <v>307</v>
      </c>
      <c r="S276" s="8" t="s">
        <v>298</v>
      </c>
      <c r="T276" s="13"/>
      <c r="U276" s="14"/>
      <c r="V276" s="15"/>
      <c r="W276" s="16"/>
      <c r="X276" s="71" t="s">
        <v>226</v>
      </c>
      <c r="Y276" s="8" t="s">
        <v>364</v>
      </c>
      <c r="Z276" s="8" t="s">
        <v>87</v>
      </c>
      <c r="AA276" s="12" t="s">
        <v>197</v>
      </c>
      <c r="AB276" s="80"/>
      <c r="AC276" s="17"/>
      <c r="AD276" s="17"/>
    </row>
    <row r="277">
      <c r="A277" s="7">
        <v>33.0</v>
      </c>
      <c r="B277" s="7" t="s">
        <v>223</v>
      </c>
      <c r="C277" s="8" t="s">
        <v>225</v>
      </c>
      <c r="D277" s="13"/>
      <c r="E277" s="57" t="s">
        <v>387</v>
      </c>
      <c r="F277" s="9" t="str">
        <f t="shared" si="5"/>
        <v>AP</v>
      </c>
      <c r="G277" s="7" t="str">
        <f t="shared" si="2"/>
        <v>SMD-B-B3-AP</v>
      </c>
      <c r="H277" s="8" t="s">
        <v>225</v>
      </c>
      <c r="I277" s="7" t="s">
        <v>303</v>
      </c>
      <c r="J277" s="8" t="s">
        <v>301</v>
      </c>
      <c r="K277" s="141">
        <v>93.0</v>
      </c>
      <c r="L277" s="7">
        <v>695000.0</v>
      </c>
      <c r="M277" s="8" t="s">
        <v>296</v>
      </c>
      <c r="N277" s="57">
        <v>2.0</v>
      </c>
      <c r="O277" s="57">
        <v>3.0</v>
      </c>
      <c r="P277" s="12" t="s">
        <v>383</v>
      </c>
      <c r="Q277" s="80"/>
      <c r="R277" s="8" t="s">
        <v>307</v>
      </c>
      <c r="S277" s="8" t="s">
        <v>298</v>
      </c>
      <c r="T277" s="13"/>
      <c r="U277" s="14"/>
      <c r="V277" s="15"/>
      <c r="W277" s="16"/>
      <c r="X277" s="71" t="s">
        <v>226</v>
      </c>
      <c r="Y277" s="8" t="s">
        <v>364</v>
      </c>
      <c r="Z277" s="8" t="s">
        <v>87</v>
      </c>
      <c r="AA277" s="12" t="s">
        <v>197</v>
      </c>
      <c r="AB277" s="80"/>
      <c r="AC277" s="17"/>
      <c r="AD277" s="17"/>
    </row>
    <row r="278">
      <c r="A278" s="7">
        <v>33.0</v>
      </c>
      <c r="B278" s="7" t="s">
        <v>223</v>
      </c>
      <c r="C278" s="8" t="s">
        <v>225</v>
      </c>
      <c r="D278" s="13"/>
      <c r="E278" s="57" t="s">
        <v>388</v>
      </c>
      <c r="F278" s="9" t="str">
        <f t="shared" si="5"/>
        <v>AP</v>
      </c>
      <c r="G278" s="7" t="str">
        <f t="shared" si="2"/>
        <v>SMD-B-B4-AP</v>
      </c>
      <c r="H278" s="8" t="s">
        <v>225</v>
      </c>
      <c r="I278" s="7" t="s">
        <v>303</v>
      </c>
      <c r="J278" s="8" t="s">
        <v>301</v>
      </c>
      <c r="K278" s="141">
        <v>118.0</v>
      </c>
      <c r="L278" s="7">
        <v>830000.0</v>
      </c>
      <c r="M278" s="8" t="s">
        <v>296</v>
      </c>
      <c r="N278" s="57">
        <v>3.0</v>
      </c>
      <c r="O278" s="57">
        <v>3.0</v>
      </c>
      <c r="P278" s="12" t="s">
        <v>386</v>
      </c>
      <c r="Q278" s="57">
        <v>29.0</v>
      </c>
      <c r="R278" s="8" t="s">
        <v>307</v>
      </c>
      <c r="S278" s="8" t="s">
        <v>298</v>
      </c>
      <c r="T278" s="13"/>
      <c r="U278" s="14"/>
      <c r="V278" s="15"/>
      <c r="W278" s="16"/>
      <c r="X278" s="71" t="s">
        <v>226</v>
      </c>
      <c r="Y278" s="8" t="s">
        <v>364</v>
      </c>
      <c r="Z278" s="8" t="s">
        <v>87</v>
      </c>
      <c r="AA278" s="12" t="s">
        <v>197</v>
      </c>
      <c r="AB278" s="80"/>
      <c r="AC278" s="17"/>
      <c r="AD278" s="17"/>
    </row>
    <row r="279">
      <c r="A279" s="7">
        <v>33.0</v>
      </c>
      <c r="B279" s="7" t="s">
        <v>223</v>
      </c>
      <c r="C279" s="8" t="s">
        <v>225</v>
      </c>
      <c r="D279" s="13"/>
      <c r="E279" s="57" t="s">
        <v>389</v>
      </c>
      <c r="F279" s="9" t="str">
        <f t="shared" si="5"/>
        <v>AP</v>
      </c>
      <c r="G279" s="7" t="str">
        <f t="shared" si="2"/>
        <v>SMD-B-B5-AP</v>
      </c>
      <c r="H279" s="8" t="s">
        <v>225</v>
      </c>
      <c r="I279" s="7" t="s">
        <v>303</v>
      </c>
      <c r="J279" s="8" t="s">
        <v>301</v>
      </c>
      <c r="K279" s="141">
        <v>117.0</v>
      </c>
      <c r="L279" s="7">
        <v>780000.0</v>
      </c>
      <c r="M279" s="8" t="s">
        <v>296</v>
      </c>
      <c r="N279" s="57">
        <v>3.0</v>
      </c>
      <c r="O279" s="57">
        <v>3.0</v>
      </c>
      <c r="P279" s="12" t="s">
        <v>363</v>
      </c>
      <c r="Q279" s="80"/>
      <c r="R279" s="8" t="s">
        <v>307</v>
      </c>
      <c r="S279" s="8" t="s">
        <v>308</v>
      </c>
      <c r="T279" s="13"/>
      <c r="U279" s="14"/>
      <c r="V279" s="15"/>
      <c r="W279" s="16"/>
      <c r="X279" s="71" t="s">
        <v>226</v>
      </c>
      <c r="Y279" s="8" t="s">
        <v>364</v>
      </c>
      <c r="Z279" s="8" t="s">
        <v>87</v>
      </c>
      <c r="AA279" s="12" t="s">
        <v>197</v>
      </c>
      <c r="AB279" s="57" t="s">
        <v>370</v>
      </c>
      <c r="AC279" s="17"/>
      <c r="AD279" s="17"/>
    </row>
    <row r="280">
      <c r="A280" s="7">
        <v>33.0</v>
      </c>
      <c r="B280" s="7" t="s">
        <v>223</v>
      </c>
      <c r="C280" s="8" t="s">
        <v>225</v>
      </c>
      <c r="D280" s="13"/>
      <c r="E280" s="57" t="s">
        <v>390</v>
      </c>
      <c r="F280" s="9" t="str">
        <f t="shared" si="5"/>
        <v>AP</v>
      </c>
      <c r="G280" s="7" t="str">
        <f t="shared" si="2"/>
        <v>SMD-B-B6-AP</v>
      </c>
      <c r="H280" s="8" t="s">
        <v>225</v>
      </c>
      <c r="I280" s="7" t="s">
        <v>303</v>
      </c>
      <c r="J280" s="8" t="s">
        <v>301</v>
      </c>
      <c r="K280" s="141">
        <v>120.0</v>
      </c>
      <c r="L280" s="7">
        <v>770000.0</v>
      </c>
      <c r="M280" s="8" t="s">
        <v>296</v>
      </c>
      <c r="N280" s="57">
        <v>3.0</v>
      </c>
      <c r="O280" s="57">
        <v>3.0</v>
      </c>
      <c r="P280" s="12" t="s">
        <v>363</v>
      </c>
      <c r="Q280" s="80"/>
      <c r="R280" s="8" t="s">
        <v>307</v>
      </c>
      <c r="S280" s="8" t="s">
        <v>308</v>
      </c>
      <c r="T280" s="13"/>
      <c r="U280" s="14"/>
      <c r="V280" s="15"/>
      <c r="W280" s="16"/>
      <c r="X280" s="71" t="s">
        <v>226</v>
      </c>
      <c r="Y280" s="8" t="s">
        <v>364</v>
      </c>
      <c r="Z280" s="8" t="s">
        <v>87</v>
      </c>
      <c r="AA280" s="12" t="s">
        <v>197</v>
      </c>
      <c r="AB280" s="57" t="s">
        <v>372</v>
      </c>
      <c r="AC280" s="17"/>
      <c r="AD280" s="17"/>
    </row>
    <row r="281">
      <c r="A281" s="7">
        <v>33.0</v>
      </c>
      <c r="B281" s="7" t="s">
        <v>223</v>
      </c>
      <c r="C281" s="8" t="s">
        <v>225</v>
      </c>
      <c r="D281" s="13"/>
      <c r="E281" s="57" t="s">
        <v>391</v>
      </c>
      <c r="F281" s="9" t="str">
        <f t="shared" si="5"/>
        <v>AP</v>
      </c>
      <c r="G281" s="7" t="str">
        <f t="shared" si="2"/>
        <v>SMD-B-B7-AP</v>
      </c>
      <c r="H281" s="8" t="s">
        <v>225</v>
      </c>
      <c r="I281" s="7" t="s">
        <v>303</v>
      </c>
      <c r="J281" s="8" t="s">
        <v>301</v>
      </c>
      <c r="K281" s="141">
        <v>116.0</v>
      </c>
      <c r="L281" s="7">
        <v>780000.0</v>
      </c>
      <c r="M281" s="8" t="s">
        <v>296</v>
      </c>
      <c r="N281" s="57">
        <v>3.0</v>
      </c>
      <c r="O281" s="57">
        <v>3.0</v>
      </c>
      <c r="P281" s="12" t="s">
        <v>363</v>
      </c>
      <c r="Q281" s="80"/>
      <c r="R281" s="8" t="s">
        <v>307</v>
      </c>
      <c r="S281" s="8" t="s">
        <v>308</v>
      </c>
      <c r="T281" s="13"/>
      <c r="U281" s="14"/>
      <c r="V281" s="15"/>
      <c r="W281" s="16"/>
      <c r="X281" s="71" t="s">
        <v>226</v>
      </c>
      <c r="Y281" s="8" t="s">
        <v>364</v>
      </c>
      <c r="Z281" s="8" t="s">
        <v>87</v>
      </c>
      <c r="AA281" s="12" t="s">
        <v>197</v>
      </c>
      <c r="AB281" s="57" t="s">
        <v>370</v>
      </c>
      <c r="AC281" s="17"/>
      <c r="AD281" s="17"/>
    </row>
    <row r="282">
      <c r="A282" s="7">
        <v>33.0</v>
      </c>
      <c r="B282" s="7" t="s">
        <v>223</v>
      </c>
      <c r="C282" s="8" t="s">
        <v>225</v>
      </c>
      <c r="D282" s="13"/>
      <c r="E282" s="57" t="s">
        <v>392</v>
      </c>
      <c r="F282" s="9" t="str">
        <f t="shared" si="5"/>
        <v>AP</v>
      </c>
      <c r="G282" s="7" t="str">
        <f t="shared" si="2"/>
        <v>SMD-B-B8-AP</v>
      </c>
      <c r="H282" s="8" t="s">
        <v>225</v>
      </c>
      <c r="I282" s="7" t="s">
        <v>303</v>
      </c>
      <c r="J282" s="8" t="s">
        <v>301</v>
      </c>
      <c r="K282" s="141">
        <v>118.0</v>
      </c>
      <c r="L282" s="7">
        <v>770000.0</v>
      </c>
      <c r="M282" s="8" t="s">
        <v>296</v>
      </c>
      <c r="N282" s="57">
        <v>3.0</v>
      </c>
      <c r="O282" s="57">
        <v>3.0</v>
      </c>
      <c r="P282" s="12" t="s">
        <v>363</v>
      </c>
      <c r="Q282" s="80"/>
      <c r="R282" s="8" t="s">
        <v>307</v>
      </c>
      <c r="S282" s="8" t="s">
        <v>308</v>
      </c>
      <c r="T282" s="13"/>
      <c r="U282" s="14"/>
      <c r="V282" s="15"/>
      <c r="W282" s="16"/>
      <c r="X282" s="71" t="s">
        <v>226</v>
      </c>
      <c r="Y282" s="8" t="s">
        <v>364</v>
      </c>
      <c r="Z282" s="8" t="s">
        <v>87</v>
      </c>
      <c r="AA282" s="12" t="s">
        <v>197</v>
      </c>
      <c r="AB282" s="57" t="s">
        <v>372</v>
      </c>
      <c r="AC282" s="17"/>
      <c r="AD282" s="17"/>
    </row>
    <row r="283">
      <c r="A283" s="7">
        <v>33.0</v>
      </c>
      <c r="B283" s="7" t="s">
        <v>223</v>
      </c>
      <c r="C283" s="8" t="s">
        <v>225</v>
      </c>
      <c r="D283" s="13"/>
      <c r="E283" s="57" t="s">
        <v>393</v>
      </c>
      <c r="F283" s="9" t="str">
        <f t="shared" si="5"/>
        <v>AP</v>
      </c>
      <c r="G283" s="7" t="str">
        <f t="shared" si="2"/>
        <v>SMD-B-B9-AP</v>
      </c>
      <c r="H283" s="8" t="s">
        <v>225</v>
      </c>
      <c r="I283" s="7" t="s">
        <v>303</v>
      </c>
      <c r="J283" s="8" t="s">
        <v>301</v>
      </c>
      <c r="K283" s="141">
        <v>117.0</v>
      </c>
      <c r="L283" s="7">
        <v>800000.0</v>
      </c>
      <c r="M283" s="8" t="s">
        <v>296</v>
      </c>
      <c r="N283" s="57">
        <v>3.0</v>
      </c>
      <c r="O283" s="57">
        <v>3.0</v>
      </c>
      <c r="P283" s="12" t="s">
        <v>363</v>
      </c>
      <c r="Q283" s="80"/>
      <c r="R283" s="8" t="s">
        <v>307</v>
      </c>
      <c r="S283" s="8" t="s">
        <v>318</v>
      </c>
      <c r="T283" s="13"/>
      <c r="U283" s="14"/>
      <c r="V283" s="15"/>
      <c r="W283" s="16" t="s">
        <v>369</v>
      </c>
      <c r="X283" s="71" t="s">
        <v>226</v>
      </c>
      <c r="Y283" s="8" t="s">
        <v>364</v>
      </c>
      <c r="Z283" s="8" t="s">
        <v>87</v>
      </c>
      <c r="AA283" s="12" t="s">
        <v>197</v>
      </c>
      <c r="AB283" s="57" t="s">
        <v>370</v>
      </c>
      <c r="AC283" s="17"/>
      <c r="AD283" s="17"/>
    </row>
    <row r="284">
      <c r="A284" s="7">
        <v>33.0</v>
      </c>
      <c r="B284" s="7" t="s">
        <v>223</v>
      </c>
      <c r="C284" s="8" t="s">
        <v>225</v>
      </c>
      <c r="D284" s="13"/>
      <c r="E284" s="57" t="s">
        <v>394</v>
      </c>
      <c r="F284" s="9" t="str">
        <f t="shared" si="5"/>
        <v>AP</v>
      </c>
      <c r="G284" s="7" t="str">
        <f t="shared" si="2"/>
        <v>SMD-B-B10-AP</v>
      </c>
      <c r="H284" s="8" t="s">
        <v>225</v>
      </c>
      <c r="I284" s="7" t="s">
        <v>303</v>
      </c>
      <c r="J284" s="8" t="s">
        <v>301</v>
      </c>
      <c r="K284" s="141">
        <v>115.0</v>
      </c>
      <c r="L284" s="7">
        <v>790000.0</v>
      </c>
      <c r="M284" s="8" t="s">
        <v>296</v>
      </c>
      <c r="N284" s="57">
        <v>3.0</v>
      </c>
      <c r="O284" s="57">
        <v>3.0</v>
      </c>
      <c r="P284" s="12" t="s">
        <v>363</v>
      </c>
      <c r="Q284" s="80"/>
      <c r="R284" s="8" t="s">
        <v>307</v>
      </c>
      <c r="S284" s="8" t="s">
        <v>318</v>
      </c>
      <c r="T284" s="13"/>
      <c r="U284" s="14"/>
      <c r="V284" s="15"/>
      <c r="W284" s="16" t="s">
        <v>369</v>
      </c>
      <c r="X284" s="71" t="s">
        <v>226</v>
      </c>
      <c r="Y284" s="8" t="s">
        <v>364</v>
      </c>
      <c r="Z284" s="8" t="s">
        <v>87</v>
      </c>
      <c r="AA284" s="12" t="s">
        <v>197</v>
      </c>
      <c r="AB284" s="57" t="s">
        <v>372</v>
      </c>
      <c r="AC284" s="17"/>
      <c r="AD284" s="17"/>
    </row>
    <row r="285">
      <c r="A285" s="7">
        <v>33.0</v>
      </c>
      <c r="B285" s="7" t="s">
        <v>223</v>
      </c>
      <c r="C285" s="8" t="s">
        <v>225</v>
      </c>
      <c r="D285" s="13"/>
      <c r="E285" s="57" t="s">
        <v>395</v>
      </c>
      <c r="F285" s="9" t="str">
        <f t="shared" si="5"/>
        <v>AP</v>
      </c>
      <c r="G285" s="7" t="str">
        <f t="shared" si="2"/>
        <v>SMD-B-B11-AP</v>
      </c>
      <c r="H285" s="8" t="s">
        <v>225</v>
      </c>
      <c r="I285" s="7" t="s">
        <v>303</v>
      </c>
      <c r="J285" s="8" t="s">
        <v>301</v>
      </c>
      <c r="K285" s="141">
        <v>116.0</v>
      </c>
      <c r="L285" s="7">
        <v>800000.0</v>
      </c>
      <c r="M285" s="8" t="s">
        <v>296</v>
      </c>
      <c r="N285" s="57">
        <v>3.0</v>
      </c>
      <c r="O285" s="57">
        <v>3.0</v>
      </c>
      <c r="P285" s="12" t="s">
        <v>363</v>
      </c>
      <c r="Q285" s="80"/>
      <c r="R285" s="8" t="s">
        <v>307</v>
      </c>
      <c r="S285" s="8" t="s">
        <v>318</v>
      </c>
      <c r="T285" s="13"/>
      <c r="U285" s="14"/>
      <c r="V285" s="15"/>
      <c r="W285" s="16" t="s">
        <v>369</v>
      </c>
      <c r="X285" s="71" t="s">
        <v>226</v>
      </c>
      <c r="Y285" s="8" t="s">
        <v>364</v>
      </c>
      <c r="Z285" s="8" t="s">
        <v>87</v>
      </c>
      <c r="AA285" s="12" t="s">
        <v>197</v>
      </c>
      <c r="AB285" s="57" t="s">
        <v>370</v>
      </c>
      <c r="AC285" s="17"/>
      <c r="AD285" s="17"/>
    </row>
    <row r="286">
      <c r="A286" s="7">
        <v>33.0</v>
      </c>
      <c r="B286" s="7" t="s">
        <v>223</v>
      </c>
      <c r="C286" s="8" t="s">
        <v>225</v>
      </c>
      <c r="D286" s="13"/>
      <c r="E286" s="57" t="s">
        <v>396</v>
      </c>
      <c r="F286" s="9" t="str">
        <f t="shared" si="5"/>
        <v>AP</v>
      </c>
      <c r="G286" s="7" t="str">
        <f t="shared" si="2"/>
        <v>SMD-B-B12-AP</v>
      </c>
      <c r="H286" s="8" t="s">
        <v>225</v>
      </c>
      <c r="I286" s="7" t="s">
        <v>303</v>
      </c>
      <c r="J286" s="8" t="s">
        <v>301</v>
      </c>
      <c r="K286" s="141">
        <v>114.0</v>
      </c>
      <c r="L286" s="7">
        <v>790000.0</v>
      </c>
      <c r="M286" s="8" t="s">
        <v>296</v>
      </c>
      <c r="N286" s="57">
        <v>3.0</v>
      </c>
      <c r="O286" s="57">
        <v>3.0</v>
      </c>
      <c r="P286" s="12" t="s">
        <v>363</v>
      </c>
      <c r="Q286" s="80"/>
      <c r="R286" s="8" t="s">
        <v>307</v>
      </c>
      <c r="S286" s="8" t="s">
        <v>318</v>
      </c>
      <c r="T286" s="13"/>
      <c r="U286" s="14"/>
      <c r="V286" s="15"/>
      <c r="W286" s="16" t="s">
        <v>369</v>
      </c>
      <c r="X286" s="71" t="s">
        <v>226</v>
      </c>
      <c r="Y286" s="8" t="s">
        <v>364</v>
      </c>
      <c r="Z286" s="8" t="s">
        <v>87</v>
      </c>
      <c r="AA286" s="12" t="s">
        <v>197</v>
      </c>
      <c r="AB286" s="57" t="s">
        <v>372</v>
      </c>
      <c r="AC286" s="17"/>
      <c r="AD286" s="17"/>
    </row>
    <row r="287">
      <c r="A287" s="7">
        <v>33.0</v>
      </c>
      <c r="B287" s="7" t="s">
        <v>223</v>
      </c>
      <c r="C287" s="8" t="s">
        <v>225</v>
      </c>
      <c r="D287" s="13"/>
      <c r="E287" s="57" t="s">
        <v>397</v>
      </c>
      <c r="F287" s="9" t="str">
        <f t="shared" si="5"/>
        <v>AP</v>
      </c>
      <c r="G287" s="7" t="str">
        <f t="shared" si="2"/>
        <v>SMD-B-B13-AP</v>
      </c>
      <c r="H287" s="8" t="s">
        <v>225</v>
      </c>
      <c r="I287" s="7" t="s">
        <v>303</v>
      </c>
      <c r="J287" s="8" t="s">
        <v>301</v>
      </c>
      <c r="K287" s="141">
        <v>97.0</v>
      </c>
      <c r="L287" s="7">
        <v>800000.0</v>
      </c>
      <c r="M287" s="8" t="s">
        <v>296</v>
      </c>
      <c r="N287" s="57">
        <v>2.0</v>
      </c>
      <c r="O287" s="57">
        <v>3.0</v>
      </c>
      <c r="P287" s="12" t="s">
        <v>383</v>
      </c>
      <c r="Q287" s="80"/>
      <c r="R287" s="8" t="s">
        <v>307</v>
      </c>
      <c r="S287" s="8" t="s">
        <v>380</v>
      </c>
      <c r="T287" s="13"/>
      <c r="U287" s="14"/>
      <c r="V287" s="15"/>
      <c r="W287" s="16" t="s">
        <v>398</v>
      </c>
      <c r="X287" s="71" t="s">
        <v>226</v>
      </c>
      <c r="Y287" s="8" t="s">
        <v>364</v>
      </c>
      <c r="Z287" s="8" t="s">
        <v>87</v>
      </c>
      <c r="AA287" s="12" t="s">
        <v>197</v>
      </c>
      <c r="AB287" s="57" t="s">
        <v>370</v>
      </c>
      <c r="AC287" s="17"/>
      <c r="AD287" s="17"/>
    </row>
    <row r="288">
      <c r="A288" s="7">
        <v>33.0</v>
      </c>
      <c r="B288" s="7" t="s">
        <v>223</v>
      </c>
      <c r="C288" s="8" t="s">
        <v>225</v>
      </c>
      <c r="D288" s="13"/>
      <c r="E288" s="57" t="s">
        <v>399</v>
      </c>
      <c r="F288" s="9" t="str">
        <f t="shared" si="5"/>
        <v>AP</v>
      </c>
      <c r="G288" s="7" t="str">
        <f t="shared" si="2"/>
        <v>SMD-B-B14-AP</v>
      </c>
      <c r="H288" s="8" t="s">
        <v>225</v>
      </c>
      <c r="I288" s="7" t="s">
        <v>303</v>
      </c>
      <c r="J288" s="8" t="s">
        <v>301</v>
      </c>
      <c r="K288" s="141">
        <v>95.0</v>
      </c>
      <c r="L288" s="7">
        <v>810000.0</v>
      </c>
      <c r="M288" s="8" t="s">
        <v>296</v>
      </c>
      <c r="N288" s="57">
        <v>2.0</v>
      </c>
      <c r="O288" s="57">
        <v>3.0</v>
      </c>
      <c r="P288" s="12" t="s">
        <v>383</v>
      </c>
      <c r="Q288" s="80"/>
      <c r="R288" s="8" t="s">
        <v>307</v>
      </c>
      <c r="S288" s="8" t="s">
        <v>380</v>
      </c>
      <c r="T288" s="13"/>
      <c r="U288" s="14"/>
      <c r="V288" s="15"/>
      <c r="W288" s="16" t="s">
        <v>398</v>
      </c>
      <c r="X288" s="71" t="s">
        <v>226</v>
      </c>
      <c r="Y288" s="8" t="s">
        <v>364</v>
      </c>
      <c r="Z288" s="8" t="s">
        <v>87</v>
      </c>
      <c r="AA288" s="12" t="s">
        <v>197</v>
      </c>
      <c r="AB288" s="57" t="s">
        <v>370</v>
      </c>
      <c r="AC288" s="17"/>
      <c r="AD288" s="17"/>
    </row>
    <row r="289">
      <c r="A289" s="7">
        <v>33.0</v>
      </c>
      <c r="B289" s="7" t="s">
        <v>223</v>
      </c>
      <c r="C289" s="8" t="s">
        <v>225</v>
      </c>
      <c r="D289" s="13"/>
      <c r="E289" s="57" t="s">
        <v>400</v>
      </c>
      <c r="F289" s="9" t="str">
        <f t="shared" si="5"/>
        <v>AP</v>
      </c>
      <c r="G289" s="7" t="str">
        <f t="shared" si="2"/>
        <v>SMD-C-C1-AP</v>
      </c>
      <c r="H289" s="8" t="s">
        <v>225</v>
      </c>
      <c r="I289" s="7" t="s">
        <v>317</v>
      </c>
      <c r="J289" s="8" t="s">
        <v>301</v>
      </c>
      <c r="K289" s="141">
        <v>110.0</v>
      </c>
      <c r="L289" s="7">
        <v>730000.0</v>
      </c>
      <c r="M289" s="8" t="s">
        <v>296</v>
      </c>
      <c r="N289" s="57">
        <v>2.0</v>
      </c>
      <c r="O289" s="57">
        <v>3.0</v>
      </c>
      <c r="P289" s="12" t="s">
        <v>383</v>
      </c>
      <c r="Q289" s="80"/>
      <c r="R289" s="8" t="s">
        <v>307</v>
      </c>
      <c r="S289" s="8" t="s">
        <v>298</v>
      </c>
      <c r="T289" s="13"/>
      <c r="U289" s="14"/>
      <c r="V289" s="15"/>
      <c r="W289" s="16"/>
      <c r="X289" s="71" t="s">
        <v>226</v>
      </c>
      <c r="Y289" s="8" t="s">
        <v>364</v>
      </c>
      <c r="Z289" s="8" t="s">
        <v>87</v>
      </c>
      <c r="AA289" s="12" t="s">
        <v>197</v>
      </c>
      <c r="AB289" s="80"/>
      <c r="AC289" s="17"/>
      <c r="AD289" s="17"/>
    </row>
    <row r="290">
      <c r="A290" s="7">
        <v>33.0</v>
      </c>
      <c r="B290" s="7" t="s">
        <v>223</v>
      </c>
      <c r="C290" s="8" t="s">
        <v>225</v>
      </c>
      <c r="D290" s="13"/>
      <c r="E290" s="57" t="s">
        <v>401</v>
      </c>
      <c r="F290" s="9" t="str">
        <f t="shared" si="5"/>
        <v>AP</v>
      </c>
      <c r="G290" s="7" t="str">
        <f t="shared" si="2"/>
        <v>SMD-C-C2-AP</v>
      </c>
      <c r="H290" s="8" t="s">
        <v>225</v>
      </c>
      <c r="I290" s="7" t="s">
        <v>317</v>
      </c>
      <c r="J290" s="8" t="s">
        <v>301</v>
      </c>
      <c r="K290" s="141">
        <v>136.0</v>
      </c>
      <c r="L290" s="7">
        <v>900000.0</v>
      </c>
      <c r="M290" s="8" t="s">
        <v>296</v>
      </c>
      <c r="N290" s="57">
        <v>3.0</v>
      </c>
      <c r="O290" s="57">
        <v>3.0</v>
      </c>
      <c r="P290" s="12" t="s">
        <v>386</v>
      </c>
      <c r="Q290" s="57">
        <v>55.0</v>
      </c>
      <c r="R290" s="8" t="s">
        <v>307</v>
      </c>
      <c r="S290" s="8" t="s">
        <v>298</v>
      </c>
      <c r="T290" s="13"/>
      <c r="U290" s="14"/>
      <c r="V290" s="15"/>
      <c r="W290" s="16"/>
      <c r="X290" s="71" t="s">
        <v>226</v>
      </c>
      <c r="Y290" s="8" t="s">
        <v>364</v>
      </c>
      <c r="Z290" s="8" t="s">
        <v>87</v>
      </c>
      <c r="AA290" s="12" t="s">
        <v>197</v>
      </c>
      <c r="AB290" s="80"/>
      <c r="AC290" s="17"/>
      <c r="AD290" s="17"/>
    </row>
    <row r="291">
      <c r="A291" s="7">
        <v>33.0</v>
      </c>
      <c r="B291" s="7" t="s">
        <v>223</v>
      </c>
      <c r="C291" s="8" t="s">
        <v>225</v>
      </c>
      <c r="D291" s="13"/>
      <c r="E291" s="57" t="s">
        <v>402</v>
      </c>
      <c r="F291" s="9" t="str">
        <f t="shared" si="5"/>
        <v>AP</v>
      </c>
      <c r="G291" s="7" t="str">
        <f t="shared" si="2"/>
        <v>SMD-C-C3-AP</v>
      </c>
      <c r="H291" s="8" t="s">
        <v>225</v>
      </c>
      <c r="I291" s="7" t="s">
        <v>317</v>
      </c>
      <c r="J291" s="8" t="s">
        <v>301</v>
      </c>
      <c r="K291" s="141">
        <v>108.0</v>
      </c>
      <c r="L291" s="7">
        <v>760000.0</v>
      </c>
      <c r="M291" s="8" t="s">
        <v>296</v>
      </c>
      <c r="N291" s="57">
        <v>2.0</v>
      </c>
      <c r="O291" s="57">
        <v>3.0</v>
      </c>
      <c r="P291" s="12" t="s">
        <v>379</v>
      </c>
      <c r="Q291" s="57">
        <v>18.0</v>
      </c>
      <c r="R291" s="8" t="s">
        <v>307</v>
      </c>
      <c r="S291" s="8" t="s">
        <v>298</v>
      </c>
      <c r="T291" s="13"/>
      <c r="U291" s="14"/>
      <c r="V291" s="15"/>
      <c r="W291" s="16"/>
      <c r="X291" s="71" t="s">
        <v>226</v>
      </c>
      <c r="Y291" s="8" t="s">
        <v>364</v>
      </c>
      <c r="Z291" s="8" t="s">
        <v>87</v>
      </c>
      <c r="AA291" s="12" t="s">
        <v>197</v>
      </c>
      <c r="AB291" s="80"/>
      <c r="AC291" s="17"/>
      <c r="AD291" s="17"/>
    </row>
    <row r="292">
      <c r="A292" s="7">
        <v>33.0</v>
      </c>
      <c r="B292" s="7" t="s">
        <v>223</v>
      </c>
      <c r="C292" s="8" t="s">
        <v>225</v>
      </c>
      <c r="D292" s="13"/>
      <c r="E292" s="57" t="s">
        <v>403</v>
      </c>
      <c r="F292" s="9" t="str">
        <f t="shared" si="5"/>
        <v>AP</v>
      </c>
      <c r="G292" s="7" t="str">
        <f t="shared" si="2"/>
        <v>SMD-C-C4-AP</v>
      </c>
      <c r="H292" s="8" t="s">
        <v>225</v>
      </c>
      <c r="I292" s="7" t="s">
        <v>317</v>
      </c>
      <c r="J292" s="8" t="s">
        <v>301</v>
      </c>
      <c r="K292" s="141">
        <v>136.0</v>
      </c>
      <c r="L292" s="7">
        <v>820000.0</v>
      </c>
      <c r="M292" s="8" t="s">
        <v>296</v>
      </c>
      <c r="N292" s="57">
        <v>3.0</v>
      </c>
      <c r="O292" s="57">
        <v>3.0</v>
      </c>
      <c r="P292" s="12" t="s">
        <v>363</v>
      </c>
      <c r="Q292" s="80"/>
      <c r="R292" s="8" t="s">
        <v>307</v>
      </c>
      <c r="S292" s="8" t="s">
        <v>308</v>
      </c>
      <c r="T292" s="13"/>
      <c r="U292" s="14"/>
      <c r="V292" s="15"/>
      <c r="W292" s="16"/>
      <c r="X292" s="71" t="s">
        <v>226</v>
      </c>
      <c r="Y292" s="8" t="s">
        <v>364</v>
      </c>
      <c r="Z292" s="8" t="s">
        <v>87</v>
      </c>
      <c r="AA292" s="12" t="s">
        <v>197</v>
      </c>
      <c r="AB292" s="57" t="s">
        <v>370</v>
      </c>
      <c r="AC292" s="17"/>
      <c r="AD292" s="17"/>
    </row>
    <row r="293">
      <c r="A293" s="7">
        <v>33.0</v>
      </c>
      <c r="B293" s="7" t="s">
        <v>223</v>
      </c>
      <c r="C293" s="8" t="s">
        <v>225</v>
      </c>
      <c r="D293" s="13"/>
      <c r="E293" s="57" t="s">
        <v>404</v>
      </c>
      <c r="F293" s="9" t="str">
        <f t="shared" si="5"/>
        <v>AP</v>
      </c>
      <c r="G293" s="7" t="str">
        <f t="shared" si="2"/>
        <v>SMD-C-C5-AP</v>
      </c>
      <c r="H293" s="8" t="s">
        <v>225</v>
      </c>
      <c r="I293" s="7" t="s">
        <v>317</v>
      </c>
      <c r="J293" s="8" t="s">
        <v>301</v>
      </c>
      <c r="K293" s="141">
        <v>136.0</v>
      </c>
      <c r="L293" s="7">
        <v>820000.0</v>
      </c>
      <c r="M293" s="8" t="s">
        <v>296</v>
      </c>
      <c r="N293" s="57">
        <v>3.0</v>
      </c>
      <c r="O293" s="57">
        <v>3.0</v>
      </c>
      <c r="P293" s="12" t="s">
        <v>363</v>
      </c>
      <c r="Q293" s="80"/>
      <c r="R293" s="8" t="s">
        <v>307</v>
      </c>
      <c r="S293" s="8" t="s">
        <v>308</v>
      </c>
      <c r="T293" s="13"/>
      <c r="U293" s="14"/>
      <c r="V293" s="15"/>
      <c r="W293" s="16"/>
      <c r="X293" s="71" t="s">
        <v>226</v>
      </c>
      <c r="Y293" s="8" t="s">
        <v>364</v>
      </c>
      <c r="Z293" s="8" t="s">
        <v>87</v>
      </c>
      <c r="AA293" s="12" t="s">
        <v>197</v>
      </c>
      <c r="AB293" s="57" t="s">
        <v>372</v>
      </c>
      <c r="AC293" s="17"/>
      <c r="AD293" s="17"/>
    </row>
    <row r="294">
      <c r="A294" s="7">
        <v>33.0</v>
      </c>
      <c r="B294" s="7" t="s">
        <v>223</v>
      </c>
      <c r="C294" s="8" t="s">
        <v>225</v>
      </c>
      <c r="D294" s="13"/>
      <c r="E294" s="57" t="s">
        <v>405</v>
      </c>
      <c r="F294" s="9" t="str">
        <f t="shared" si="5"/>
        <v>AP</v>
      </c>
      <c r="G294" s="7" t="str">
        <f t="shared" si="2"/>
        <v>SMD-C-C6-AP</v>
      </c>
      <c r="H294" s="8" t="s">
        <v>225</v>
      </c>
      <c r="I294" s="7" t="s">
        <v>317</v>
      </c>
      <c r="J294" s="8" t="s">
        <v>301</v>
      </c>
      <c r="K294" s="141">
        <v>148.0</v>
      </c>
      <c r="L294" s="7">
        <v>850000.0</v>
      </c>
      <c r="M294" s="8" t="s">
        <v>296</v>
      </c>
      <c r="N294" s="57">
        <v>3.0</v>
      </c>
      <c r="O294" s="57">
        <v>3.0</v>
      </c>
      <c r="P294" s="12" t="s">
        <v>363</v>
      </c>
      <c r="Q294" s="80"/>
      <c r="R294" s="8" t="s">
        <v>307</v>
      </c>
      <c r="S294" s="8" t="s">
        <v>308</v>
      </c>
      <c r="T294" s="13"/>
      <c r="U294" s="14"/>
      <c r="V294" s="15"/>
      <c r="W294" s="16"/>
      <c r="X294" s="71" t="s">
        <v>226</v>
      </c>
      <c r="Y294" s="8" t="s">
        <v>364</v>
      </c>
      <c r="Z294" s="8" t="s">
        <v>87</v>
      </c>
      <c r="AA294" s="12" t="s">
        <v>197</v>
      </c>
      <c r="AB294" s="57" t="s">
        <v>374</v>
      </c>
      <c r="AC294" s="17"/>
      <c r="AD294" s="17"/>
    </row>
    <row r="295">
      <c r="A295" s="7">
        <v>33.0</v>
      </c>
      <c r="B295" s="7" t="s">
        <v>223</v>
      </c>
      <c r="C295" s="8" t="s">
        <v>225</v>
      </c>
      <c r="D295" s="13"/>
      <c r="E295" s="57" t="s">
        <v>406</v>
      </c>
      <c r="F295" s="9" t="str">
        <f t="shared" si="5"/>
        <v>AP</v>
      </c>
      <c r="G295" s="7" t="str">
        <f t="shared" si="2"/>
        <v>SMD-C-C7-AP</v>
      </c>
      <c r="H295" s="8" t="s">
        <v>225</v>
      </c>
      <c r="I295" s="7" t="s">
        <v>317</v>
      </c>
      <c r="J295" s="8" t="s">
        <v>301</v>
      </c>
      <c r="K295" s="141">
        <v>136.0</v>
      </c>
      <c r="L295" s="7">
        <v>820000.0</v>
      </c>
      <c r="M295" s="8" t="s">
        <v>296</v>
      </c>
      <c r="N295" s="57">
        <v>3.0</v>
      </c>
      <c r="O295" s="57">
        <v>3.0</v>
      </c>
      <c r="P295" s="12" t="s">
        <v>363</v>
      </c>
      <c r="Q295" s="80"/>
      <c r="R295" s="8" t="s">
        <v>307</v>
      </c>
      <c r="S295" s="8" t="s">
        <v>318</v>
      </c>
      <c r="T295" s="13"/>
      <c r="U295" s="14"/>
      <c r="V295" s="15"/>
      <c r="W295" s="16"/>
      <c r="X295" s="71" t="s">
        <v>226</v>
      </c>
      <c r="Y295" s="8" t="s">
        <v>364</v>
      </c>
      <c r="Z295" s="8" t="s">
        <v>87</v>
      </c>
      <c r="AA295" s="12" t="s">
        <v>197</v>
      </c>
      <c r="AB295" s="57" t="s">
        <v>370</v>
      </c>
      <c r="AC295" s="17"/>
      <c r="AD295" s="17"/>
    </row>
    <row r="296">
      <c r="A296" s="7">
        <v>33.0</v>
      </c>
      <c r="B296" s="7" t="s">
        <v>223</v>
      </c>
      <c r="C296" s="8" t="s">
        <v>225</v>
      </c>
      <c r="D296" s="13"/>
      <c r="E296" s="57" t="s">
        <v>407</v>
      </c>
      <c r="F296" s="9" t="str">
        <f t="shared" si="5"/>
        <v>AP</v>
      </c>
      <c r="G296" s="7" t="str">
        <f t="shared" si="2"/>
        <v>SMD-C-C8-AP</v>
      </c>
      <c r="H296" s="8" t="s">
        <v>225</v>
      </c>
      <c r="I296" s="7" t="s">
        <v>317</v>
      </c>
      <c r="J296" s="8" t="s">
        <v>301</v>
      </c>
      <c r="K296" s="141">
        <v>130.0</v>
      </c>
      <c r="L296" s="7">
        <v>810000.0</v>
      </c>
      <c r="M296" s="8" t="s">
        <v>296</v>
      </c>
      <c r="N296" s="57">
        <v>3.0</v>
      </c>
      <c r="O296" s="57">
        <v>3.0</v>
      </c>
      <c r="P296" s="12" t="s">
        <v>363</v>
      </c>
      <c r="Q296" s="80"/>
      <c r="R296" s="8" t="s">
        <v>307</v>
      </c>
      <c r="S296" s="8" t="s">
        <v>318</v>
      </c>
      <c r="T296" s="13"/>
      <c r="U296" s="14"/>
      <c r="V296" s="15"/>
      <c r="W296" s="16"/>
      <c r="X296" s="71" t="s">
        <v>226</v>
      </c>
      <c r="Y296" s="8" t="s">
        <v>364</v>
      </c>
      <c r="Z296" s="8" t="s">
        <v>87</v>
      </c>
      <c r="AA296" s="12" t="s">
        <v>197</v>
      </c>
      <c r="AB296" s="57" t="s">
        <v>372</v>
      </c>
      <c r="AC296" s="17"/>
      <c r="AD296" s="17"/>
    </row>
    <row r="297">
      <c r="A297" s="7">
        <v>33.0</v>
      </c>
      <c r="B297" s="7" t="s">
        <v>223</v>
      </c>
      <c r="C297" s="8" t="s">
        <v>225</v>
      </c>
      <c r="D297" s="13"/>
      <c r="E297" s="57" t="s">
        <v>408</v>
      </c>
      <c r="F297" s="9" t="str">
        <f t="shared" si="5"/>
        <v>AP</v>
      </c>
      <c r="G297" s="7" t="str">
        <f t="shared" si="2"/>
        <v>SMD-C-C9-AP</v>
      </c>
      <c r="H297" s="8" t="s">
        <v>225</v>
      </c>
      <c r="I297" s="7" t="s">
        <v>317</v>
      </c>
      <c r="J297" s="8" t="s">
        <v>301</v>
      </c>
      <c r="K297" s="141">
        <v>149.0</v>
      </c>
      <c r="L297" s="7">
        <v>850000.0</v>
      </c>
      <c r="M297" s="8" t="s">
        <v>296</v>
      </c>
      <c r="N297" s="57">
        <v>3.0</v>
      </c>
      <c r="O297" s="57">
        <v>3.0</v>
      </c>
      <c r="P297" s="12" t="s">
        <v>363</v>
      </c>
      <c r="Q297" s="80"/>
      <c r="R297" s="8" t="s">
        <v>307</v>
      </c>
      <c r="S297" s="8" t="s">
        <v>318</v>
      </c>
      <c r="T297" s="13"/>
      <c r="U297" s="14"/>
      <c r="V297" s="15"/>
      <c r="W297" s="16"/>
      <c r="X297" s="71" t="s">
        <v>226</v>
      </c>
      <c r="Y297" s="8" t="s">
        <v>364</v>
      </c>
      <c r="Z297" s="8" t="s">
        <v>87</v>
      </c>
      <c r="AA297" s="12" t="s">
        <v>197</v>
      </c>
      <c r="AB297" s="57" t="s">
        <v>374</v>
      </c>
      <c r="AC297" s="17"/>
      <c r="AD297" s="17"/>
    </row>
    <row r="298">
      <c r="A298" s="7">
        <v>33.0</v>
      </c>
      <c r="B298" s="7" t="s">
        <v>223</v>
      </c>
      <c r="C298" s="8" t="s">
        <v>225</v>
      </c>
      <c r="D298" s="13"/>
      <c r="E298" s="57" t="s">
        <v>409</v>
      </c>
      <c r="F298" s="9" t="str">
        <f t="shared" si="5"/>
        <v>AP</v>
      </c>
      <c r="G298" s="7" t="str">
        <f t="shared" si="2"/>
        <v>SMD-C-C10-AP</v>
      </c>
      <c r="H298" s="8" t="s">
        <v>225</v>
      </c>
      <c r="I298" s="7" t="s">
        <v>317</v>
      </c>
      <c r="J298" s="8" t="s">
        <v>301</v>
      </c>
      <c r="K298" s="141">
        <v>110.0</v>
      </c>
      <c r="L298" s="7">
        <v>830000.0</v>
      </c>
      <c r="M298" s="8" t="s">
        <v>296</v>
      </c>
      <c r="N298" s="57">
        <v>2.0</v>
      </c>
      <c r="O298" s="57">
        <v>3.0</v>
      </c>
      <c r="P298" s="12" t="s">
        <v>383</v>
      </c>
      <c r="Q298" s="80"/>
      <c r="R298" s="8" t="s">
        <v>307</v>
      </c>
      <c r="S298" s="8" t="s">
        <v>380</v>
      </c>
      <c r="T298" s="13"/>
      <c r="U298" s="14"/>
      <c r="V298" s="15"/>
      <c r="W298" s="16" t="s">
        <v>410</v>
      </c>
      <c r="X298" s="71" t="s">
        <v>226</v>
      </c>
      <c r="Y298" s="8" t="s">
        <v>364</v>
      </c>
      <c r="Z298" s="8" t="s">
        <v>87</v>
      </c>
      <c r="AA298" s="12" t="s">
        <v>197</v>
      </c>
      <c r="AB298" s="57" t="s">
        <v>370</v>
      </c>
      <c r="AC298" s="17"/>
      <c r="AD298" s="17"/>
    </row>
    <row r="299">
      <c r="A299" s="7">
        <v>33.0</v>
      </c>
      <c r="B299" s="7" t="s">
        <v>223</v>
      </c>
      <c r="C299" s="8" t="s">
        <v>225</v>
      </c>
      <c r="D299" s="13"/>
      <c r="E299" s="57" t="s">
        <v>411</v>
      </c>
      <c r="F299" s="9" t="str">
        <f t="shared" si="5"/>
        <v>AP</v>
      </c>
      <c r="G299" s="7" t="str">
        <f t="shared" si="2"/>
        <v>SMD-C-C11-AP</v>
      </c>
      <c r="H299" s="8" t="s">
        <v>225</v>
      </c>
      <c r="I299" s="7" t="s">
        <v>317</v>
      </c>
      <c r="J299" s="8" t="s">
        <v>301</v>
      </c>
      <c r="K299" s="141">
        <v>100.0</v>
      </c>
      <c r="L299" s="7">
        <v>780000.0</v>
      </c>
      <c r="M299" s="8" t="s">
        <v>296</v>
      </c>
      <c r="N299" s="57">
        <v>2.0</v>
      </c>
      <c r="O299" s="57">
        <v>2.0</v>
      </c>
      <c r="P299" s="12" t="s">
        <v>383</v>
      </c>
      <c r="Q299" s="80"/>
      <c r="R299" s="8" t="s">
        <v>307</v>
      </c>
      <c r="S299" s="8" t="s">
        <v>380</v>
      </c>
      <c r="T299" s="13"/>
      <c r="U299" s="14"/>
      <c r="V299" s="15"/>
      <c r="W299" s="16" t="s">
        <v>410</v>
      </c>
      <c r="X299" s="71" t="s">
        <v>226</v>
      </c>
      <c r="Y299" s="8" t="s">
        <v>364</v>
      </c>
      <c r="Z299" s="8" t="s">
        <v>87</v>
      </c>
      <c r="AA299" s="12" t="s">
        <v>197</v>
      </c>
      <c r="AB299" s="57" t="s">
        <v>370</v>
      </c>
      <c r="AC299" s="17"/>
      <c r="AD299" s="17"/>
    </row>
    <row r="300">
      <c r="A300" s="78">
        <v>34.0</v>
      </c>
      <c r="B300" s="57" t="s">
        <v>228</v>
      </c>
      <c r="C300" s="78" t="s">
        <v>229</v>
      </c>
      <c r="D300" s="80"/>
      <c r="E300" s="137">
        <v>1011.0</v>
      </c>
      <c r="F300" s="9" t="str">
        <f t="shared" si="5"/>
        <v>AP</v>
      </c>
      <c r="G300" s="78" t="str">
        <f t="shared" si="2"/>
        <v>KAL1-D-1011-AP</v>
      </c>
      <c r="H300" s="78" t="s">
        <v>230</v>
      </c>
      <c r="I300" s="78" t="s">
        <v>319</v>
      </c>
      <c r="J300" s="78" t="s">
        <v>301</v>
      </c>
      <c r="K300" s="184">
        <v>88.0</v>
      </c>
      <c r="L300" s="137">
        <v>530000.0</v>
      </c>
      <c r="M300" s="78" t="s">
        <v>296</v>
      </c>
      <c r="N300" s="137">
        <v>2.0</v>
      </c>
      <c r="O300" s="185">
        <v>2.0</v>
      </c>
      <c r="P300" s="167" t="s">
        <v>412</v>
      </c>
      <c r="Q300" s="183"/>
      <c r="R300" s="78" t="s">
        <v>307</v>
      </c>
      <c r="S300" s="186">
        <v>1.0</v>
      </c>
      <c r="T300" s="80"/>
      <c r="U300" s="168"/>
      <c r="V300" s="187"/>
      <c r="W300" s="130"/>
      <c r="X300" s="188" t="s">
        <v>231</v>
      </c>
      <c r="Y300" s="78" t="s">
        <v>86</v>
      </c>
      <c r="Z300" s="78" t="s">
        <v>87</v>
      </c>
      <c r="AA300" s="167" t="s">
        <v>233</v>
      </c>
      <c r="AB300" s="79" t="s">
        <v>413</v>
      </c>
      <c r="AC300" s="130"/>
      <c r="AD300" s="130"/>
    </row>
    <row r="301">
      <c r="A301" s="78">
        <v>34.0</v>
      </c>
      <c r="B301" s="57" t="s">
        <v>228</v>
      </c>
      <c r="C301" s="78" t="s">
        <v>229</v>
      </c>
      <c r="D301" s="80"/>
      <c r="E301" s="137">
        <v>1012.0</v>
      </c>
      <c r="F301" s="9" t="str">
        <f t="shared" si="5"/>
        <v>AP</v>
      </c>
      <c r="G301" s="78" t="str">
        <f t="shared" si="2"/>
        <v>KAL1-F-1012-AP</v>
      </c>
      <c r="H301" s="78" t="s">
        <v>230</v>
      </c>
      <c r="I301" s="78" t="s">
        <v>414</v>
      </c>
      <c r="J301" s="78" t="s">
        <v>301</v>
      </c>
      <c r="K301" s="184">
        <v>68.0</v>
      </c>
      <c r="L301" s="137">
        <v>475000.0</v>
      </c>
      <c r="M301" s="78" t="s">
        <v>296</v>
      </c>
      <c r="N301" s="137">
        <v>1.0</v>
      </c>
      <c r="O301" s="185">
        <v>1.0</v>
      </c>
      <c r="P301" s="167" t="s">
        <v>415</v>
      </c>
      <c r="Q301" s="183"/>
      <c r="R301" s="78" t="s">
        <v>307</v>
      </c>
      <c r="S301" s="186">
        <v>1.0</v>
      </c>
      <c r="T301" s="80"/>
      <c r="U301" s="168"/>
      <c r="V301" s="187"/>
      <c r="W301" s="130"/>
      <c r="X301" s="188" t="s">
        <v>231</v>
      </c>
      <c r="Y301" s="78" t="s">
        <v>86</v>
      </c>
      <c r="Z301" s="78" t="s">
        <v>87</v>
      </c>
      <c r="AA301" s="167" t="s">
        <v>233</v>
      </c>
      <c r="AB301" s="79" t="s">
        <v>413</v>
      </c>
      <c r="AC301" s="130"/>
      <c r="AD301" s="130"/>
    </row>
    <row r="302">
      <c r="A302" s="78">
        <v>34.0</v>
      </c>
      <c r="B302" s="57" t="s">
        <v>228</v>
      </c>
      <c r="C302" s="78" t="s">
        <v>229</v>
      </c>
      <c r="D302" s="80"/>
      <c r="E302" s="137">
        <v>1013.0</v>
      </c>
      <c r="F302" s="9" t="str">
        <f t="shared" si="5"/>
        <v>AP</v>
      </c>
      <c r="G302" s="78" t="str">
        <f t="shared" si="2"/>
        <v>KAL1-C-1013-AP</v>
      </c>
      <c r="H302" s="78" t="s">
        <v>230</v>
      </c>
      <c r="I302" s="78" t="s">
        <v>317</v>
      </c>
      <c r="J302" s="78" t="s">
        <v>301</v>
      </c>
      <c r="K302" s="184">
        <v>109.0</v>
      </c>
      <c r="L302" s="137">
        <v>605000.0</v>
      </c>
      <c r="M302" s="78" t="s">
        <v>296</v>
      </c>
      <c r="N302" s="137">
        <v>2.0</v>
      </c>
      <c r="O302" s="185">
        <v>2.0</v>
      </c>
      <c r="P302" s="167" t="s">
        <v>412</v>
      </c>
      <c r="Q302" s="183"/>
      <c r="R302" s="78" t="s">
        <v>307</v>
      </c>
      <c r="S302" s="186">
        <v>1.0</v>
      </c>
      <c r="T302" s="80"/>
      <c r="U302" s="168"/>
      <c r="V302" s="187"/>
      <c r="W302" s="130"/>
      <c r="X302" s="188" t="s">
        <v>231</v>
      </c>
      <c r="Y302" s="78" t="s">
        <v>86</v>
      </c>
      <c r="Z302" s="78" t="s">
        <v>87</v>
      </c>
      <c r="AA302" s="167" t="s">
        <v>233</v>
      </c>
      <c r="AB302" s="79" t="s">
        <v>413</v>
      </c>
      <c r="AC302" s="130"/>
      <c r="AD302" s="130"/>
    </row>
    <row r="303">
      <c r="A303" s="78">
        <v>34.0</v>
      </c>
      <c r="B303" s="57" t="s">
        <v>228</v>
      </c>
      <c r="C303" s="78" t="s">
        <v>229</v>
      </c>
      <c r="D303" s="80"/>
      <c r="E303" s="137">
        <v>1014.0</v>
      </c>
      <c r="F303" s="9" t="str">
        <f t="shared" si="5"/>
        <v>AP</v>
      </c>
      <c r="G303" s="78" t="str">
        <f t="shared" si="2"/>
        <v>KAL1-B-1014-AP</v>
      </c>
      <c r="H303" s="78" t="s">
        <v>230</v>
      </c>
      <c r="I303" s="78" t="s">
        <v>303</v>
      </c>
      <c r="J303" s="78" t="s">
        <v>301</v>
      </c>
      <c r="K303" s="184">
        <v>134.0</v>
      </c>
      <c r="L303" s="137">
        <v>710000.0</v>
      </c>
      <c r="M303" s="78" t="s">
        <v>296</v>
      </c>
      <c r="N303" s="137">
        <v>3.0</v>
      </c>
      <c r="O303" s="185">
        <v>2.0</v>
      </c>
      <c r="P303" s="167" t="s">
        <v>412</v>
      </c>
      <c r="Q303" s="183"/>
      <c r="R303" s="78" t="s">
        <v>307</v>
      </c>
      <c r="S303" s="186">
        <v>1.0</v>
      </c>
      <c r="T303" s="80"/>
      <c r="U303" s="168"/>
      <c r="V303" s="187"/>
      <c r="W303" s="130"/>
      <c r="X303" s="188" t="s">
        <v>231</v>
      </c>
      <c r="Y303" s="78" t="s">
        <v>86</v>
      </c>
      <c r="Z303" s="78" t="s">
        <v>87</v>
      </c>
      <c r="AA303" s="167" t="s">
        <v>233</v>
      </c>
      <c r="AB303" s="79" t="s">
        <v>416</v>
      </c>
      <c r="AC303" s="130"/>
      <c r="AD303" s="130"/>
    </row>
    <row r="304">
      <c r="A304" s="78">
        <v>34.0</v>
      </c>
      <c r="B304" s="57" t="s">
        <v>228</v>
      </c>
      <c r="C304" s="78" t="s">
        <v>229</v>
      </c>
      <c r="D304" s="80"/>
      <c r="E304" s="137">
        <v>1015.0</v>
      </c>
      <c r="F304" s="9" t="str">
        <f t="shared" si="5"/>
        <v>AP</v>
      </c>
      <c r="G304" s="78" t="str">
        <f t="shared" si="2"/>
        <v>KAL1-E-1015-AP</v>
      </c>
      <c r="H304" s="78" t="s">
        <v>230</v>
      </c>
      <c r="I304" s="78" t="s">
        <v>417</v>
      </c>
      <c r="J304" s="78" t="s">
        <v>301</v>
      </c>
      <c r="K304" s="184">
        <v>102.0</v>
      </c>
      <c r="L304" s="137">
        <v>570000.0</v>
      </c>
      <c r="M304" s="78" t="s">
        <v>296</v>
      </c>
      <c r="N304" s="137">
        <v>2.0</v>
      </c>
      <c r="O304" s="185">
        <v>2.0</v>
      </c>
      <c r="P304" s="167" t="s">
        <v>412</v>
      </c>
      <c r="Q304" s="183"/>
      <c r="R304" s="78" t="s">
        <v>307</v>
      </c>
      <c r="S304" s="186">
        <v>1.0</v>
      </c>
      <c r="T304" s="80"/>
      <c r="U304" s="168"/>
      <c r="V304" s="187"/>
      <c r="W304" s="130"/>
      <c r="X304" s="188" t="s">
        <v>231</v>
      </c>
      <c r="Y304" s="78" t="s">
        <v>86</v>
      </c>
      <c r="Z304" s="78" t="s">
        <v>87</v>
      </c>
      <c r="AA304" s="167" t="s">
        <v>233</v>
      </c>
      <c r="AB304" s="79" t="s">
        <v>416</v>
      </c>
      <c r="AC304" s="130"/>
      <c r="AD304" s="130"/>
    </row>
    <row r="305">
      <c r="A305" s="78">
        <v>34.0</v>
      </c>
      <c r="B305" s="57" t="s">
        <v>228</v>
      </c>
      <c r="C305" s="78" t="s">
        <v>229</v>
      </c>
      <c r="D305" s="80"/>
      <c r="E305" s="137">
        <v>1016.0</v>
      </c>
      <c r="F305" s="9" t="str">
        <f t="shared" si="5"/>
        <v>AP</v>
      </c>
      <c r="G305" s="78" t="str">
        <f t="shared" si="2"/>
        <v>KAL1-E-1016-AP</v>
      </c>
      <c r="H305" s="78" t="s">
        <v>230</v>
      </c>
      <c r="I305" s="78" t="s">
        <v>417</v>
      </c>
      <c r="J305" s="78" t="s">
        <v>301</v>
      </c>
      <c r="K305" s="184">
        <v>102.0</v>
      </c>
      <c r="L305" s="137">
        <v>570000.0</v>
      </c>
      <c r="M305" s="78" t="s">
        <v>296</v>
      </c>
      <c r="N305" s="137">
        <v>2.0</v>
      </c>
      <c r="O305" s="185">
        <v>2.0</v>
      </c>
      <c r="P305" s="167" t="s">
        <v>412</v>
      </c>
      <c r="Q305" s="183"/>
      <c r="R305" s="78" t="s">
        <v>307</v>
      </c>
      <c r="S305" s="186">
        <v>1.0</v>
      </c>
      <c r="T305" s="80"/>
      <c r="U305" s="168"/>
      <c r="V305" s="187"/>
      <c r="W305" s="130"/>
      <c r="X305" s="188" t="s">
        <v>231</v>
      </c>
      <c r="Y305" s="78" t="s">
        <v>86</v>
      </c>
      <c r="Z305" s="78" t="s">
        <v>87</v>
      </c>
      <c r="AA305" s="167" t="s">
        <v>233</v>
      </c>
      <c r="AB305" s="79" t="s">
        <v>416</v>
      </c>
      <c r="AC305" s="130"/>
      <c r="AD305" s="130"/>
    </row>
    <row r="306">
      <c r="A306" s="78">
        <v>34.0</v>
      </c>
      <c r="B306" s="57" t="s">
        <v>228</v>
      </c>
      <c r="C306" s="78" t="s">
        <v>229</v>
      </c>
      <c r="D306" s="80"/>
      <c r="E306" s="137">
        <v>1017.0</v>
      </c>
      <c r="F306" s="9" t="str">
        <f t="shared" si="5"/>
        <v>AP</v>
      </c>
      <c r="G306" s="78" t="str">
        <f t="shared" si="2"/>
        <v>KAL1-A-1017-AP</v>
      </c>
      <c r="H306" s="78" t="s">
        <v>230</v>
      </c>
      <c r="I306" s="78" t="s">
        <v>294</v>
      </c>
      <c r="J306" s="78" t="s">
        <v>301</v>
      </c>
      <c r="K306" s="184">
        <v>133.0</v>
      </c>
      <c r="L306" s="137">
        <v>755000.0</v>
      </c>
      <c r="M306" s="78" t="s">
        <v>296</v>
      </c>
      <c r="N306" s="137">
        <v>3.0</v>
      </c>
      <c r="O306" s="185">
        <v>2.0</v>
      </c>
      <c r="P306" s="167" t="s">
        <v>412</v>
      </c>
      <c r="Q306" s="183"/>
      <c r="R306" s="78" t="s">
        <v>307</v>
      </c>
      <c r="S306" s="186">
        <v>1.0</v>
      </c>
      <c r="T306" s="80"/>
      <c r="U306" s="168"/>
      <c r="V306" s="187"/>
      <c r="W306" s="130"/>
      <c r="X306" s="188" t="s">
        <v>231</v>
      </c>
      <c r="Y306" s="78" t="s">
        <v>86</v>
      </c>
      <c r="Z306" s="78" t="s">
        <v>87</v>
      </c>
      <c r="AA306" s="167" t="s">
        <v>233</v>
      </c>
      <c r="AB306" s="79" t="s">
        <v>413</v>
      </c>
      <c r="AC306" s="130"/>
      <c r="AD306" s="130"/>
    </row>
    <row r="307">
      <c r="A307" s="78">
        <v>34.0</v>
      </c>
      <c r="B307" s="57" t="s">
        <v>228</v>
      </c>
      <c r="C307" s="78" t="s">
        <v>229</v>
      </c>
      <c r="D307" s="80"/>
      <c r="E307" s="137">
        <v>1018.0</v>
      </c>
      <c r="F307" s="9" t="str">
        <f t="shared" si="5"/>
        <v>AP</v>
      </c>
      <c r="G307" s="78" t="str">
        <f t="shared" si="2"/>
        <v>KAL1-A-1018-AP</v>
      </c>
      <c r="H307" s="78" t="s">
        <v>230</v>
      </c>
      <c r="I307" s="78" t="s">
        <v>294</v>
      </c>
      <c r="J307" s="78" t="s">
        <v>301</v>
      </c>
      <c r="K307" s="184">
        <v>135.0</v>
      </c>
      <c r="L307" s="137">
        <v>745000.0</v>
      </c>
      <c r="M307" s="78" t="s">
        <v>296</v>
      </c>
      <c r="N307" s="137">
        <v>3.0</v>
      </c>
      <c r="O307" s="185">
        <v>2.0</v>
      </c>
      <c r="P307" s="167" t="s">
        <v>412</v>
      </c>
      <c r="Q307" s="183"/>
      <c r="R307" s="78" t="s">
        <v>307</v>
      </c>
      <c r="S307" s="186">
        <v>1.0</v>
      </c>
      <c r="T307" s="80"/>
      <c r="U307" s="168"/>
      <c r="V307" s="187"/>
      <c r="W307" s="130"/>
      <c r="X307" s="188" t="s">
        <v>231</v>
      </c>
      <c r="Y307" s="78" t="s">
        <v>86</v>
      </c>
      <c r="Z307" s="78" t="s">
        <v>87</v>
      </c>
      <c r="AA307" s="167" t="s">
        <v>233</v>
      </c>
      <c r="AB307" s="79" t="s">
        <v>413</v>
      </c>
      <c r="AC307" s="130"/>
      <c r="AD307" s="130"/>
    </row>
    <row r="308">
      <c r="A308" s="78">
        <v>34.0</v>
      </c>
      <c r="B308" s="57" t="s">
        <v>228</v>
      </c>
      <c r="C308" s="78" t="s">
        <v>229</v>
      </c>
      <c r="D308" s="80"/>
      <c r="E308" s="137">
        <v>1021.0</v>
      </c>
      <c r="F308" s="9" t="str">
        <f t="shared" si="5"/>
        <v>AP</v>
      </c>
      <c r="G308" s="78" t="str">
        <f t="shared" si="2"/>
        <v>KAL1-D-1021-AP</v>
      </c>
      <c r="H308" s="78" t="s">
        <v>230</v>
      </c>
      <c r="I308" s="78" t="s">
        <v>319</v>
      </c>
      <c r="J308" s="78" t="s">
        <v>301</v>
      </c>
      <c r="K308" s="184">
        <v>88.0</v>
      </c>
      <c r="L308" s="137">
        <v>520000.0</v>
      </c>
      <c r="M308" s="78" t="s">
        <v>296</v>
      </c>
      <c r="N308" s="137">
        <v>2.0</v>
      </c>
      <c r="O308" s="185">
        <v>2.0</v>
      </c>
      <c r="P308" s="167" t="s">
        <v>412</v>
      </c>
      <c r="Q308" s="183"/>
      <c r="R308" s="78" t="s">
        <v>307</v>
      </c>
      <c r="S308" s="189">
        <v>2.0</v>
      </c>
      <c r="T308" s="80"/>
      <c r="U308" s="168"/>
      <c r="V308" s="187"/>
      <c r="W308" s="130"/>
      <c r="X308" s="188" t="s">
        <v>231</v>
      </c>
      <c r="Y308" s="78" t="s">
        <v>86</v>
      </c>
      <c r="Z308" s="78" t="s">
        <v>87</v>
      </c>
      <c r="AA308" s="167" t="s">
        <v>233</v>
      </c>
      <c r="AB308" s="79" t="s">
        <v>413</v>
      </c>
      <c r="AC308" s="130"/>
      <c r="AD308" s="130"/>
    </row>
    <row r="309">
      <c r="A309" s="78">
        <v>34.0</v>
      </c>
      <c r="B309" s="57" t="s">
        <v>228</v>
      </c>
      <c r="C309" s="78" t="s">
        <v>229</v>
      </c>
      <c r="D309" s="80"/>
      <c r="E309" s="137">
        <v>1022.0</v>
      </c>
      <c r="F309" s="9" t="str">
        <f t="shared" si="5"/>
        <v>AP</v>
      </c>
      <c r="G309" s="78" t="str">
        <f t="shared" si="2"/>
        <v>KAL1-F-1022-AP</v>
      </c>
      <c r="H309" s="78" t="s">
        <v>230</v>
      </c>
      <c r="I309" s="78" t="s">
        <v>414</v>
      </c>
      <c r="J309" s="78" t="s">
        <v>301</v>
      </c>
      <c r="K309" s="184">
        <v>68.0</v>
      </c>
      <c r="L309" s="137">
        <v>465000.0</v>
      </c>
      <c r="M309" s="78" t="s">
        <v>296</v>
      </c>
      <c r="N309" s="137">
        <v>1.0</v>
      </c>
      <c r="O309" s="185">
        <v>1.0</v>
      </c>
      <c r="P309" s="167" t="s">
        <v>415</v>
      </c>
      <c r="Q309" s="183"/>
      <c r="R309" s="78" t="s">
        <v>307</v>
      </c>
      <c r="S309" s="189">
        <v>2.0</v>
      </c>
      <c r="T309" s="80"/>
      <c r="U309" s="168"/>
      <c r="V309" s="187"/>
      <c r="W309" s="130"/>
      <c r="X309" s="188" t="s">
        <v>231</v>
      </c>
      <c r="Y309" s="78" t="s">
        <v>86</v>
      </c>
      <c r="Z309" s="78" t="s">
        <v>87</v>
      </c>
      <c r="AA309" s="167" t="s">
        <v>233</v>
      </c>
      <c r="AB309" s="79" t="s">
        <v>413</v>
      </c>
      <c r="AC309" s="130"/>
      <c r="AD309" s="130"/>
    </row>
    <row r="310">
      <c r="A310" s="78">
        <v>34.0</v>
      </c>
      <c r="B310" s="57" t="s">
        <v>228</v>
      </c>
      <c r="C310" s="78" t="s">
        <v>229</v>
      </c>
      <c r="D310" s="80"/>
      <c r="E310" s="137">
        <v>1023.0</v>
      </c>
      <c r="F310" s="9" t="str">
        <f t="shared" si="5"/>
        <v>AP</v>
      </c>
      <c r="G310" s="78" t="str">
        <f t="shared" si="2"/>
        <v>KAL1-C-1023-AP</v>
      </c>
      <c r="H310" s="78" t="s">
        <v>230</v>
      </c>
      <c r="I310" s="78" t="s">
        <v>317</v>
      </c>
      <c r="J310" s="78" t="s">
        <v>301</v>
      </c>
      <c r="K310" s="184">
        <v>109.0</v>
      </c>
      <c r="L310" s="137">
        <v>595000.0</v>
      </c>
      <c r="M310" s="78" t="s">
        <v>296</v>
      </c>
      <c r="N310" s="137">
        <v>2.0</v>
      </c>
      <c r="O310" s="185">
        <v>2.0</v>
      </c>
      <c r="P310" s="167" t="s">
        <v>412</v>
      </c>
      <c r="Q310" s="183"/>
      <c r="R310" s="78" t="s">
        <v>307</v>
      </c>
      <c r="S310" s="189">
        <v>2.0</v>
      </c>
      <c r="T310" s="80"/>
      <c r="U310" s="168"/>
      <c r="V310" s="187"/>
      <c r="W310" s="130"/>
      <c r="X310" s="188" t="s">
        <v>231</v>
      </c>
      <c r="Y310" s="78" t="s">
        <v>86</v>
      </c>
      <c r="Z310" s="78" t="s">
        <v>87</v>
      </c>
      <c r="AA310" s="167" t="s">
        <v>233</v>
      </c>
      <c r="AB310" s="79" t="s">
        <v>413</v>
      </c>
      <c r="AC310" s="130"/>
      <c r="AD310" s="130"/>
    </row>
    <row r="311">
      <c r="A311" s="78">
        <v>34.0</v>
      </c>
      <c r="B311" s="57" t="s">
        <v>228</v>
      </c>
      <c r="C311" s="78" t="s">
        <v>229</v>
      </c>
      <c r="D311" s="80"/>
      <c r="E311" s="137">
        <v>1024.0</v>
      </c>
      <c r="F311" s="9" t="str">
        <f t="shared" si="5"/>
        <v>AP</v>
      </c>
      <c r="G311" s="78" t="str">
        <f t="shared" si="2"/>
        <v>KAL1-B-1024-AP</v>
      </c>
      <c r="H311" s="78" t="s">
        <v>230</v>
      </c>
      <c r="I311" s="78" t="s">
        <v>303</v>
      </c>
      <c r="J311" s="78" t="s">
        <v>301</v>
      </c>
      <c r="K311" s="184">
        <v>134.0</v>
      </c>
      <c r="L311" s="137">
        <v>710000.0</v>
      </c>
      <c r="M311" s="78" t="s">
        <v>296</v>
      </c>
      <c r="N311" s="137">
        <v>3.0</v>
      </c>
      <c r="O311" s="185">
        <v>2.0</v>
      </c>
      <c r="P311" s="167" t="s">
        <v>412</v>
      </c>
      <c r="Q311" s="183"/>
      <c r="R311" s="78" t="s">
        <v>307</v>
      </c>
      <c r="S311" s="189">
        <v>2.0</v>
      </c>
      <c r="T311" s="80"/>
      <c r="U311" s="168"/>
      <c r="V311" s="187"/>
      <c r="W311" s="130"/>
      <c r="X311" s="188" t="s">
        <v>231</v>
      </c>
      <c r="Y311" s="78" t="s">
        <v>86</v>
      </c>
      <c r="Z311" s="78" t="s">
        <v>87</v>
      </c>
      <c r="AA311" s="167" t="s">
        <v>233</v>
      </c>
      <c r="AB311" s="79" t="s">
        <v>416</v>
      </c>
      <c r="AC311" s="130"/>
      <c r="AD311" s="130"/>
    </row>
    <row r="312">
      <c r="A312" s="78">
        <v>34.0</v>
      </c>
      <c r="B312" s="57" t="s">
        <v>228</v>
      </c>
      <c r="C312" s="78" t="s">
        <v>229</v>
      </c>
      <c r="D312" s="80"/>
      <c r="E312" s="137">
        <v>1025.0</v>
      </c>
      <c r="F312" s="9" t="str">
        <f t="shared" si="5"/>
        <v>AP</v>
      </c>
      <c r="G312" s="78" t="str">
        <f t="shared" si="2"/>
        <v>KAL1-E-1025-AP</v>
      </c>
      <c r="H312" s="78" t="s">
        <v>230</v>
      </c>
      <c r="I312" s="78" t="s">
        <v>417</v>
      </c>
      <c r="J312" s="78" t="s">
        <v>301</v>
      </c>
      <c r="K312" s="184">
        <v>102.0</v>
      </c>
      <c r="L312" s="137">
        <v>570000.0</v>
      </c>
      <c r="M312" s="78" t="s">
        <v>296</v>
      </c>
      <c r="N312" s="137">
        <v>2.0</v>
      </c>
      <c r="O312" s="185">
        <v>2.0</v>
      </c>
      <c r="P312" s="167" t="s">
        <v>412</v>
      </c>
      <c r="Q312" s="183"/>
      <c r="R312" s="78" t="s">
        <v>307</v>
      </c>
      <c r="S312" s="189">
        <v>2.0</v>
      </c>
      <c r="T312" s="80"/>
      <c r="U312" s="168"/>
      <c r="V312" s="187"/>
      <c r="W312" s="130"/>
      <c r="X312" s="188" t="s">
        <v>231</v>
      </c>
      <c r="Y312" s="78" t="s">
        <v>86</v>
      </c>
      <c r="Z312" s="78" t="s">
        <v>87</v>
      </c>
      <c r="AA312" s="167" t="s">
        <v>233</v>
      </c>
      <c r="AB312" s="79" t="s">
        <v>416</v>
      </c>
      <c r="AC312" s="130"/>
      <c r="AD312" s="130"/>
    </row>
    <row r="313">
      <c r="A313" s="78">
        <v>34.0</v>
      </c>
      <c r="B313" s="57" t="s">
        <v>228</v>
      </c>
      <c r="C313" s="78" t="s">
        <v>229</v>
      </c>
      <c r="D313" s="80"/>
      <c r="E313" s="137">
        <v>1026.0</v>
      </c>
      <c r="F313" s="9" t="str">
        <f t="shared" si="5"/>
        <v>AP</v>
      </c>
      <c r="G313" s="78" t="str">
        <f t="shared" si="2"/>
        <v>KAL1-E-1026-AP</v>
      </c>
      <c r="H313" s="78" t="s">
        <v>230</v>
      </c>
      <c r="I313" s="78" t="s">
        <v>417</v>
      </c>
      <c r="J313" s="78" t="s">
        <v>301</v>
      </c>
      <c r="K313" s="184">
        <v>102.0</v>
      </c>
      <c r="L313" s="137">
        <v>565000.0</v>
      </c>
      <c r="M313" s="78" t="s">
        <v>296</v>
      </c>
      <c r="N313" s="137">
        <v>2.0</v>
      </c>
      <c r="O313" s="185">
        <v>2.0</v>
      </c>
      <c r="P313" s="167" t="s">
        <v>412</v>
      </c>
      <c r="Q313" s="183"/>
      <c r="R313" s="78" t="s">
        <v>307</v>
      </c>
      <c r="S313" s="189">
        <v>2.0</v>
      </c>
      <c r="T313" s="80"/>
      <c r="U313" s="168"/>
      <c r="V313" s="187"/>
      <c r="W313" s="130"/>
      <c r="X313" s="188" t="s">
        <v>231</v>
      </c>
      <c r="Y313" s="78" t="s">
        <v>86</v>
      </c>
      <c r="Z313" s="78" t="s">
        <v>87</v>
      </c>
      <c r="AA313" s="167" t="s">
        <v>233</v>
      </c>
      <c r="AB313" s="79" t="s">
        <v>416</v>
      </c>
      <c r="AC313" s="130"/>
      <c r="AD313" s="130"/>
    </row>
    <row r="314">
      <c r="A314" s="78">
        <v>34.0</v>
      </c>
      <c r="B314" s="57" t="s">
        <v>228</v>
      </c>
      <c r="C314" s="78" t="s">
        <v>229</v>
      </c>
      <c r="D314" s="80"/>
      <c r="E314" s="137">
        <v>1027.0</v>
      </c>
      <c r="F314" s="9" t="str">
        <f t="shared" si="5"/>
        <v>AP</v>
      </c>
      <c r="G314" s="78" t="str">
        <f t="shared" si="2"/>
        <v>KAL1-A-1027-AP</v>
      </c>
      <c r="H314" s="78" t="s">
        <v>230</v>
      </c>
      <c r="I314" s="78" t="s">
        <v>294</v>
      </c>
      <c r="J314" s="78" t="s">
        <v>301</v>
      </c>
      <c r="K314" s="184">
        <v>133.0</v>
      </c>
      <c r="L314" s="137">
        <v>755000.0</v>
      </c>
      <c r="M314" s="78" t="s">
        <v>296</v>
      </c>
      <c r="N314" s="137">
        <v>3.0</v>
      </c>
      <c r="O314" s="185">
        <v>2.0</v>
      </c>
      <c r="P314" s="167" t="s">
        <v>412</v>
      </c>
      <c r="Q314" s="183"/>
      <c r="R314" s="78" t="s">
        <v>307</v>
      </c>
      <c r="S314" s="189">
        <v>2.0</v>
      </c>
      <c r="T314" s="80"/>
      <c r="U314" s="168"/>
      <c r="V314" s="187"/>
      <c r="W314" s="130"/>
      <c r="X314" s="188" t="s">
        <v>231</v>
      </c>
      <c r="Y314" s="78" t="s">
        <v>86</v>
      </c>
      <c r="Z314" s="78" t="s">
        <v>87</v>
      </c>
      <c r="AA314" s="167" t="s">
        <v>233</v>
      </c>
      <c r="AB314" s="79" t="s">
        <v>413</v>
      </c>
      <c r="AC314" s="130"/>
      <c r="AD314" s="130"/>
    </row>
    <row r="315">
      <c r="A315" s="78">
        <v>34.0</v>
      </c>
      <c r="B315" s="57" t="s">
        <v>228</v>
      </c>
      <c r="C315" s="78" t="s">
        <v>229</v>
      </c>
      <c r="D315" s="80"/>
      <c r="E315" s="137">
        <v>1028.0</v>
      </c>
      <c r="F315" s="9" t="str">
        <f t="shared" si="5"/>
        <v>AP</v>
      </c>
      <c r="G315" s="78" t="str">
        <f t="shared" si="2"/>
        <v>KAL1-A-1028-AP</v>
      </c>
      <c r="H315" s="78" t="s">
        <v>230</v>
      </c>
      <c r="I315" s="78" t="s">
        <v>294</v>
      </c>
      <c r="J315" s="78" t="s">
        <v>301</v>
      </c>
      <c r="K315" s="184">
        <v>135.0</v>
      </c>
      <c r="L315" s="137">
        <v>745000.0</v>
      </c>
      <c r="M315" s="78" t="s">
        <v>296</v>
      </c>
      <c r="N315" s="137">
        <v>3.0</v>
      </c>
      <c r="O315" s="185">
        <v>2.0</v>
      </c>
      <c r="P315" s="167" t="s">
        <v>412</v>
      </c>
      <c r="Q315" s="183"/>
      <c r="R315" s="78" t="s">
        <v>307</v>
      </c>
      <c r="S315" s="189">
        <v>2.0</v>
      </c>
      <c r="T315" s="80"/>
      <c r="U315" s="168"/>
      <c r="V315" s="187"/>
      <c r="W315" s="130"/>
      <c r="X315" s="188" t="s">
        <v>231</v>
      </c>
      <c r="Y315" s="78" t="s">
        <v>86</v>
      </c>
      <c r="Z315" s="78" t="s">
        <v>87</v>
      </c>
      <c r="AA315" s="167" t="s">
        <v>233</v>
      </c>
      <c r="AB315" s="79" t="s">
        <v>413</v>
      </c>
      <c r="AC315" s="130"/>
      <c r="AD315" s="130"/>
    </row>
    <row r="316">
      <c r="A316" s="78">
        <v>34.0</v>
      </c>
      <c r="B316" s="57" t="s">
        <v>228</v>
      </c>
      <c r="C316" s="78" t="s">
        <v>229</v>
      </c>
      <c r="D316" s="80"/>
      <c r="E316" s="137">
        <v>1031.0</v>
      </c>
      <c r="F316" s="9" t="str">
        <f t="shared" si="5"/>
        <v>AP</v>
      </c>
      <c r="G316" s="78" t="str">
        <f t="shared" si="2"/>
        <v>KAL1-D-1031-AP</v>
      </c>
      <c r="H316" s="78" t="s">
        <v>230</v>
      </c>
      <c r="I316" s="78" t="s">
        <v>319</v>
      </c>
      <c r="J316" s="78" t="s">
        <v>301</v>
      </c>
      <c r="K316" s="184">
        <v>88.0</v>
      </c>
      <c r="L316" s="137">
        <v>520000.0</v>
      </c>
      <c r="M316" s="78" t="s">
        <v>296</v>
      </c>
      <c r="N316" s="137">
        <v>2.0</v>
      </c>
      <c r="O316" s="185">
        <v>2.0</v>
      </c>
      <c r="P316" s="167" t="s">
        <v>412</v>
      </c>
      <c r="Q316" s="183"/>
      <c r="R316" s="78" t="s">
        <v>307</v>
      </c>
      <c r="S316" s="189">
        <v>3.0</v>
      </c>
      <c r="T316" s="80"/>
      <c r="U316" s="168"/>
      <c r="V316" s="187"/>
      <c r="W316" s="130"/>
      <c r="X316" s="188" t="s">
        <v>231</v>
      </c>
      <c r="Y316" s="78" t="s">
        <v>86</v>
      </c>
      <c r="Z316" s="78" t="s">
        <v>87</v>
      </c>
      <c r="AA316" s="167" t="s">
        <v>233</v>
      </c>
      <c r="AB316" s="79" t="s">
        <v>413</v>
      </c>
      <c r="AC316" s="130"/>
      <c r="AD316" s="130"/>
    </row>
    <row r="317">
      <c r="A317" s="78">
        <v>34.0</v>
      </c>
      <c r="B317" s="57" t="s">
        <v>228</v>
      </c>
      <c r="C317" s="78" t="s">
        <v>229</v>
      </c>
      <c r="D317" s="80"/>
      <c r="E317" s="137">
        <v>1032.0</v>
      </c>
      <c r="F317" s="9" t="str">
        <f t="shared" si="5"/>
        <v>AP</v>
      </c>
      <c r="G317" s="78" t="str">
        <f t="shared" si="2"/>
        <v>KAL1-F-1032-AP</v>
      </c>
      <c r="H317" s="78" t="s">
        <v>230</v>
      </c>
      <c r="I317" s="78" t="s">
        <v>414</v>
      </c>
      <c r="J317" s="78" t="s">
        <v>301</v>
      </c>
      <c r="K317" s="184">
        <v>68.0</v>
      </c>
      <c r="L317" s="137">
        <v>465000.0</v>
      </c>
      <c r="M317" s="78" t="s">
        <v>296</v>
      </c>
      <c r="N317" s="137">
        <v>1.0</v>
      </c>
      <c r="O317" s="185">
        <v>1.0</v>
      </c>
      <c r="P317" s="167" t="s">
        <v>415</v>
      </c>
      <c r="Q317" s="183"/>
      <c r="R317" s="78" t="s">
        <v>307</v>
      </c>
      <c r="S317" s="189">
        <v>3.0</v>
      </c>
      <c r="T317" s="80"/>
      <c r="U317" s="168"/>
      <c r="V317" s="187"/>
      <c r="W317" s="130"/>
      <c r="X317" s="188" t="s">
        <v>231</v>
      </c>
      <c r="Y317" s="78" t="s">
        <v>86</v>
      </c>
      <c r="Z317" s="78" t="s">
        <v>87</v>
      </c>
      <c r="AA317" s="167" t="s">
        <v>233</v>
      </c>
      <c r="AB317" s="79" t="s">
        <v>413</v>
      </c>
      <c r="AC317" s="130"/>
      <c r="AD317" s="130"/>
    </row>
    <row r="318">
      <c r="A318" s="78">
        <v>34.0</v>
      </c>
      <c r="B318" s="57" t="s">
        <v>228</v>
      </c>
      <c r="C318" s="78" t="s">
        <v>229</v>
      </c>
      <c r="D318" s="80"/>
      <c r="E318" s="137">
        <v>1033.0</v>
      </c>
      <c r="F318" s="9" t="str">
        <f t="shared" si="5"/>
        <v>AP</v>
      </c>
      <c r="G318" s="78" t="str">
        <f t="shared" si="2"/>
        <v>KAL1-C-1033-AP</v>
      </c>
      <c r="H318" s="78" t="s">
        <v>230</v>
      </c>
      <c r="I318" s="78" t="s">
        <v>317</v>
      </c>
      <c r="J318" s="78" t="s">
        <v>301</v>
      </c>
      <c r="K318" s="184">
        <v>109.0</v>
      </c>
      <c r="L318" s="137">
        <v>595000.0</v>
      </c>
      <c r="M318" s="78" t="s">
        <v>296</v>
      </c>
      <c r="N318" s="137">
        <v>2.0</v>
      </c>
      <c r="O318" s="185">
        <v>2.0</v>
      </c>
      <c r="P318" s="167" t="s">
        <v>412</v>
      </c>
      <c r="Q318" s="183"/>
      <c r="R318" s="78" t="s">
        <v>307</v>
      </c>
      <c r="S318" s="189">
        <v>3.0</v>
      </c>
      <c r="T318" s="80"/>
      <c r="U318" s="168"/>
      <c r="V318" s="187"/>
      <c r="W318" s="130"/>
      <c r="X318" s="188" t="s">
        <v>231</v>
      </c>
      <c r="Y318" s="78" t="s">
        <v>86</v>
      </c>
      <c r="Z318" s="78" t="s">
        <v>87</v>
      </c>
      <c r="AA318" s="167" t="s">
        <v>233</v>
      </c>
      <c r="AB318" s="79" t="s">
        <v>413</v>
      </c>
      <c r="AC318" s="130"/>
      <c r="AD318" s="130"/>
    </row>
    <row r="319">
      <c r="A319" s="78">
        <v>34.0</v>
      </c>
      <c r="B319" s="57" t="s">
        <v>228</v>
      </c>
      <c r="C319" s="78" t="s">
        <v>229</v>
      </c>
      <c r="D319" s="80"/>
      <c r="E319" s="137">
        <v>1034.0</v>
      </c>
      <c r="F319" s="9" t="str">
        <f t="shared" si="5"/>
        <v>AP</v>
      </c>
      <c r="G319" s="78" t="str">
        <f t="shared" si="2"/>
        <v>KAL1-B-1034-AP</v>
      </c>
      <c r="H319" s="78" t="s">
        <v>230</v>
      </c>
      <c r="I319" s="78" t="s">
        <v>303</v>
      </c>
      <c r="J319" s="78" t="s">
        <v>301</v>
      </c>
      <c r="K319" s="184">
        <v>134.0</v>
      </c>
      <c r="L319" s="137">
        <v>715000.0</v>
      </c>
      <c r="M319" s="78" t="s">
        <v>296</v>
      </c>
      <c r="N319" s="137">
        <v>3.0</v>
      </c>
      <c r="O319" s="185">
        <v>2.0</v>
      </c>
      <c r="P319" s="167" t="s">
        <v>412</v>
      </c>
      <c r="Q319" s="183"/>
      <c r="R319" s="78" t="s">
        <v>307</v>
      </c>
      <c r="S319" s="189">
        <v>3.0</v>
      </c>
      <c r="T319" s="80"/>
      <c r="U319" s="168"/>
      <c r="V319" s="187"/>
      <c r="W319" s="130"/>
      <c r="X319" s="188" t="s">
        <v>231</v>
      </c>
      <c r="Y319" s="78" t="s">
        <v>86</v>
      </c>
      <c r="Z319" s="78" t="s">
        <v>87</v>
      </c>
      <c r="AA319" s="167" t="s">
        <v>233</v>
      </c>
      <c r="AB319" s="79" t="s">
        <v>416</v>
      </c>
      <c r="AC319" s="130"/>
      <c r="AD319" s="130"/>
    </row>
    <row r="320">
      <c r="A320" s="78">
        <v>34.0</v>
      </c>
      <c r="B320" s="57" t="s">
        <v>228</v>
      </c>
      <c r="C320" s="78" t="s">
        <v>229</v>
      </c>
      <c r="D320" s="80"/>
      <c r="E320" s="137">
        <v>1035.0</v>
      </c>
      <c r="F320" s="9" t="str">
        <f t="shared" si="5"/>
        <v>AP</v>
      </c>
      <c r="G320" s="78" t="str">
        <f t="shared" si="2"/>
        <v>KAL1-E-1035-AP</v>
      </c>
      <c r="H320" s="78" t="s">
        <v>230</v>
      </c>
      <c r="I320" s="78" t="s">
        <v>417</v>
      </c>
      <c r="J320" s="78" t="s">
        <v>301</v>
      </c>
      <c r="K320" s="184">
        <v>102.0</v>
      </c>
      <c r="L320" s="137">
        <v>570000.0</v>
      </c>
      <c r="M320" s="78" t="s">
        <v>296</v>
      </c>
      <c r="N320" s="137">
        <v>2.0</v>
      </c>
      <c r="O320" s="185">
        <v>2.0</v>
      </c>
      <c r="P320" s="167" t="s">
        <v>412</v>
      </c>
      <c r="Q320" s="183"/>
      <c r="R320" s="78" t="s">
        <v>307</v>
      </c>
      <c r="S320" s="189">
        <v>3.0</v>
      </c>
      <c r="T320" s="80"/>
      <c r="U320" s="168"/>
      <c r="V320" s="187"/>
      <c r="W320" s="130"/>
      <c r="X320" s="188" t="s">
        <v>231</v>
      </c>
      <c r="Y320" s="78" t="s">
        <v>86</v>
      </c>
      <c r="Z320" s="78" t="s">
        <v>87</v>
      </c>
      <c r="AA320" s="167" t="s">
        <v>233</v>
      </c>
      <c r="AB320" s="79" t="s">
        <v>416</v>
      </c>
      <c r="AC320" s="130"/>
      <c r="AD320" s="130"/>
    </row>
    <row r="321">
      <c r="A321" s="78">
        <v>34.0</v>
      </c>
      <c r="B321" s="57" t="s">
        <v>228</v>
      </c>
      <c r="C321" s="78" t="s">
        <v>229</v>
      </c>
      <c r="D321" s="80"/>
      <c r="E321" s="137">
        <v>1036.0</v>
      </c>
      <c r="F321" s="9" t="str">
        <f t="shared" si="5"/>
        <v>AP</v>
      </c>
      <c r="G321" s="78" t="str">
        <f t="shared" si="2"/>
        <v>KAL1-E-1036-AP</v>
      </c>
      <c r="H321" s="78" t="s">
        <v>230</v>
      </c>
      <c r="I321" s="78" t="s">
        <v>417</v>
      </c>
      <c r="J321" s="78" t="s">
        <v>301</v>
      </c>
      <c r="K321" s="184">
        <v>102.0</v>
      </c>
      <c r="L321" s="137">
        <v>565000.0</v>
      </c>
      <c r="M321" s="78" t="s">
        <v>296</v>
      </c>
      <c r="N321" s="137">
        <v>2.0</v>
      </c>
      <c r="O321" s="185">
        <v>2.0</v>
      </c>
      <c r="P321" s="167" t="s">
        <v>412</v>
      </c>
      <c r="Q321" s="183"/>
      <c r="R321" s="78" t="s">
        <v>307</v>
      </c>
      <c r="S321" s="189">
        <v>3.0</v>
      </c>
      <c r="T321" s="80"/>
      <c r="U321" s="168"/>
      <c r="V321" s="187"/>
      <c r="W321" s="130"/>
      <c r="X321" s="188" t="s">
        <v>231</v>
      </c>
      <c r="Y321" s="78" t="s">
        <v>86</v>
      </c>
      <c r="Z321" s="78" t="s">
        <v>87</v>
      </c>
      <c r="AA321" s="167" t="s">
        <v>233</v>
      </c>
      <c r="AB321" s="79" t="s">
        <v>416</v>
      </c>
      <c r="AC321" s="130"/>
      <c r="AD321" s="130"/>
    </row>
    <row r="322">
      <c r="A322" s="78">
        <v>34.0</v>
      </c>
      <c r="B322" s="57" t="s">
        <v>228</v>
      </c>
      <c r="C322" s="78" t="s">
        <v>229</v>
      </c>
      <c r="D322" s="80"/>
      <c r="E322" s="137">
        <v>1037.0</v>
      </c>
      <c r="F322" s="9" t="str">
        <f t="shared" si="5"/>
        <v>AP</v>
      </c>
      <c r="G322" s="78" t="str">
        <f t="shared" si="2"/>
        <v>KAL1-A-1037-AP</v>
      </c>
      <c r="H322" s="78" t="s">
        <v>230</v>
      </c>
      <c r="I322" s="78" t="s">
        <v>294</v>
      </c>
      <c r="J322" s="78" t="s">
        <v>301</v>
      </c>
      <c r="K322" s="184">
        <v>133.0</v>
      </c>
      <c r="L322" s="137">
        <v>755000.0</v>
      </c>
      <c r="M322" s="78" t="s">
        <v>296</v>
      </c>
      <c r="N322" s="137">
        <v>3.0</v>
      </c>
      <c r="O322" s="185">
        <v>2.0</v>
      </c>
      <c r="P322" s="167" t="s">
        <v>412</v>
      </c>
      <c r="Q322" s="183"/>
      <c r="R322" s="78" t="s">
        <v>307</v>
      </c>
      <c r="S322" s="189">
        <v>3.0</v>
      </c>
      <c r="T322" s="80"/>
      <c r="U322" s="168"/>
      <c r="V322" s="187"/>
      <c r="W322" s="130"/>
      <c r="X322" s="188" t="s">
        <v>231</v>
      </c>
      <c r="Y322" s="78" t="s">
        <v>86</v>
      </c>
      <c r="Z322" s="78" t="s">
        <v>87</v>
      </c>
      <c r="AA322" s="167" t="s">
        <v>233</v>
      </c>
      <c r="AB322" s="79" t="s">
        <v>413</v>
      </c>
      <c r="AC322" s="130"/>
      <c r="AD322" s="130"/>
    </row>
    <row r="323">
      <c r="A323" s="78">
        <v>34.0</v>
      </c>
      <c r="B323" s="57" t="s">
        <v>228</v>
      </c>
      <c r="C323" s="78" t="s">
        <v>229</v>
      </c>
      <c r="D323" s="80"/>
      <c r="E323" s="137">
        <v>1038.0</v>
      </c>
      <c r="F323" s="9" t="str">
        <f t="shared" si="5"/>
        <v>AP</v>
      </c>
      <c r="G323" s="78" t="str">
        <f t="shared" si="2"/>
        <v>KAL1-A-1038-AP</v>
      </c>
      <c r="H323" s="78" t="s">
        <v>230</v>
      </c>
      <c r="I323" s="78" t="s">
        <v>294</v>
      </c>
      <c r="J323" s="78" t="s">
        <v>301</v>
      </c>
      <c r="K323" s="184">
        <v>135.0</v>
      </c>
      <c r="L323" s="137">
        <v>745000.0</v>
      </c>
      <c r="M323" s="78" t="s">
        <v>296</v>
      </c>
      <c r="N323" s="137">
        <v>3.0</v>
      </c>
      <c r="O323" s="185">
        <v>2.0</v>
      </c>
      <c r="P323" s="167" t="s">
        <v>412</v>
      </c>
      <c r="Q323" s="183"/>
      <c r="R323" s="78" t="s">
        <v>307</v>
      </c>
      <c r="S323" s="189">
        <v>3.0</v>
      </c>
      <c r="T323" s="80"/>
      <c r="U323" s="168"/>
      <c r="V323" s="187"/>
      <c r="W323" s="130"/>
      <c r="X323" s="188" t="s">
        <v>231</v>
      </c>
      <c r="Y323" s="78" t="s">
        <v>86</v>
      </c>
      <c r="Z323" s="78" t="s">
        <v>87</v>
      </c>
      <c r="AA323" s="167" t="s">
        <v>233</v>
      </c>
      <c r="AB323" s="79" t="s">
        <v>413</v>
      </c>
      <c r="AC323" s="130"/>
      <c r="AD323" s="130"/>
    </row>
    <row r="324">
      <c r="A324" s="78">
        <v>34.0</v>
      </c>
      <c r="B324" s="57" t="s">
        <v>228</v>
      </c>
      <c r="C324" s="78" t="s">
        <v>229</v>
      </c>
      <c r="D324" s="80"/>
      <c r="E324" s="137">
        <v>1041.0</v>
      </c>
      <c r="F324" s="9" t="str">
        <f t="shared" si="5"/>
        <v>AP</v>
      </c>
      <c r="G324" s="78" t="str">
        <f t="shared" si="2"/>
        <v>KAL1-D-1041-AP</v>
      </c>
      <c r="H324" s="78" t="s">
        <v>230</v>
      </c>
      <c r="I324" s="78" t="s">
        <v>319</v>
      </c>
      <c r="J324" s="78" t="s">
        <v>301</v>
      </c>
      <c r="K324" s="184">
        <v>88.0</v>
      </c>
      <c r="L324" s="137">
        <v>535000.0</v>
      </c>
      <c r="M324" s="78" t="s">
        <v>296</v>
      </c>
      <c r="N324" s="137">
        <v>2.0</v>
      </c>
      <c r="O324" s="185">
        <v>2.0</v>
      </c>
      <c r="P324" s="167" t="s">
        <v>412</v>
      </c>
      <c r="Q324" s="183"/>
      <c r="R324" s="78" t="s">
        <v>307</v>
      </c>
      <c r="S324" s="189">
        <v>4.0</v>
      </c>
      <c r="T324" s="80"/>
      <c r="U324" s="168"/>
      <c r="V324" s="187"/>
      <c r="W324" s="130"/>
      <c r="X324" s="188" t="s">
        <v>231</v>
      </c>
      <c r="Y324" s="78" t="s">
        <v>86</v>
      </c>
      <c r="Z324" s="78" t="s">
        <v>87</v>
      </c>
      <c r="AA324" s="167" t="s">
        <v>233</v>
      </c>
      <c r="AB324" s="79" t="s">
        <v>413</v>
      </c>
      <c r="AC324" s="130"/>
      <c r="AD324" s="130"/>
    </row>
    <row r="325">
      <c r="A325" s="78">
        <v>34.0</v>
      </c>
      <c r="B325" s="57" t="s">
        <v>228</v>
      </c>
      <c r="C325" s="78" t="s">
        <v>229</v>
      </c>
      <c r="D325" s="80"/>
      <c r="E325" s="137">
        <v>1042.0</v>
      </c>
      <c r="F325" s="9" t="str">
        <f t="shared" si="5"/>
        <v>AP</v>
      </c>
      <c r="G325" s="78" t="str">
        <f t="shared" si="2"/>
        <v>KAL1-F-1042-AP</v>
      </c>
      <c r="H325" s="78" t="s">
        <v>230</v>
      </c>
      <c r="I325" s="78" t="s">
        <v>414</v>
      </c>
      <c r="J325" s="78" t="s">
        <v>301</v>
      </c>
      <c r="K325" s="184">
        <v>68.0</v>
      </c>
      <c r="L325" s="137">
        <v>470000.0</v>
      </c>
      <c r="M325" s="78" t="s">
        <v>296</v>
      </c>
      <c r="N325" s="137">
        <v>1.0</v>
      </c>
      <c r="O325" s="185">
        <v>1.0</v>
      </c>
      <c r="P325" s="167" t="s">
        <v>415</v>
      </c>
      <c r="Q325" s="183"/>
      <c r="R325" s="78" t="s">
        <v>307</v>
      </c>
      <c r="S325" s="189">
        <v>4.0</v>
      </c>
      <c r="T325" s="80"/>
      <c r="U325" s="168"/>
      <c r="V325" s="187"/>
      <c r="W325" s="130"/>
      <c r="X325" s="188" t="s">
        <v>231</v>
      </c>
      <c r="Y325" s="78" t="s">
        <v>86</v>
      </c>
      <c r="Z325" s="78" t="s">
        <v>87</v>
      </c>
      <c r="AA325" s="167" t="s">
        <v>233</v>
      </c>
      <c r="AB325" s="79" t="s">
        <v>413</v>
      </c>
      <c r="AC325" s="130"/>
      <c r="AD325" s="130"/>
    </row>
    <row r="326">
      <c r="A326" s="78">
        <v>34.0</v>
      </c>
      <c r="B326" s="57" t="s">
        <v>228</v>
      </c>
      <c r="C326" s="78" t="s">
        <v>229</v>
      </c>
      <c r="D326" s="80"/>
      <c r="E326" s="137">
        <v>1043.0</v>
      </c>
      <c r="F326" s="9" t="str">
        <f t="shared" si="5"/>
        <v>AP</v>
      </c>
      <c r="G326" s="78" t="str">
        <f t="shared" si="2"/>
        <v>KAL1-C-1043-AP</v>
      </c>
      <c r="H326" s="78" t="s">
        <v>230</v>
      </c>
      <c r="I326" s="78" t="s">
        <v>317</v>
      </c>
      <c r="J326" s="78" t="s">
        <v>301</v>
      </c>
      <c r="K326" s="184">
        <v>109.0</v>
      </c>
      <c r="L326" s="137">
        <v>615000.0</v>
      </c>
      <c r="M326" s="78" t="s">
        <v>296</v>
      </c>
      <c r="N326" s="137">
        <v>2.0</v>
      </c>
      <c r="O326" s="185">
        <v>2.0</v>
      </c>
      <c r="P326" s="167" t="s">
        <v>412</v>
      </c>
      <c r="Q326" s="183"/>
      <c r="R326" s="78" t="s">
        <v>307</v>
      </c>
      <c r="S326" s="189">
        <v>4.0</v>
      </c>
      <c r="T326" s="80"/>
      <c r="U326" s="168"/>
      <c r="V326" s="187"/>
      <c r="W326" s="130"/>
      <c r="X326" s="188" t="s">
        <v>231</v>
      </c>
      <c r="Y326" s="78" t="s">
        <v>86</v>
      </c>
      <c r="Z326" s="78" t="s">
        <v>87</v>
      </c>
      <c r="AA326" s="167" t="s">
        <v>233</v>
      </c>
      <c r="AB326" s="79" t="s">
        <v>413</v>
      </c>
      <c r="AC326" s="130"/>
      <c r="AD326" s="130"/>
    </row>
    <row r="327">
      <c r="A327" s="78">
        <v>34.0</v>
      </c>
      <c r="B327" s="57" t="s">
        <v>228</v>
      </c>
      <c r="C327" s="78" t="s">
        <v>229</v>
      </c>
      <c r="D327" s="80"/>
      <c r="E327" s="137">
        <v>1044.0</v>
      </c>
      <c r="F327" s="9" t="str">
        <f t="shared" si="5"/>
        <v>AP</v>
      </c>
      <c r="G327" s="78" t="str">
        <f t="shared" si="2"/>
        <v>KAL1-B-1044-AP</v>
      </c>
      <c r="H327" s="78" t="s">
        <v>230</v>
      </c>
      <c r="I327" s="78" t="s">
        <v>303</v>
      </c>
      <c r="J327" s="78" t="s">
        <v>301</v>
      </c>
      <c r="K327" s="184">
        <v>134.0</v>
      </c>
      <c r="L327" s="137">
        <v>690000.0</v>
      </c>
      <c r="M327" s="78" t="s">
        <v>296</v>
      </c>
      <c r="N327" s="137">
        <v>3.0</v>
      </c>
      <c r="O327" s="185">
        <v>2.0</v>
      </c>
      <c r="P327" s="167" t="s">
        <v>412</v>
      </c>
      <c r="Q327" s="183"/>
      <c r="R327" s="78" t="s">
        <v>307</v>
      </c>
      <c r="S327" s="189">
        <v>4.0</v>
      </c>
      <c r="T327" s="80"/>
      <c r="U327" s="168"/>
      <c r="V327" s="187"/>
      <c r="W327" s="130"/>
      <c r="X327" s="188" t="s">
        <v>231</v>
      </c>
      <c r="Y327" s="78" t="s">
        <v>86</v>
      </c>
      <c r="Z327" s="78" t="s">
        <v>87</v>
      </c>
      <c r="AA327" s="167" t="s">
        <v>233</v>
      </c>
      <c r="AB327" s="79" t="s">
        <v>416</v>
      </c>
      <c r="AC327" s="130"/>
      <c r="AD327" s="130"/>
    </row>
    <row r="328">
      <c r="A328" s="78">
        <v>34.0</v>
      </c>
      <c r="B328" s="57" t="s">
        <v>228</v>
      </c>
      <c r="C328" s="78" t="s">
        <v>229</v>
      </c>
      <c r="D328" s="80"/>
      <c r="E328" s="137">
        <v>1045.0</v>
      </c>
      <c r="F328" s="9" t="str">
        <f t="shared" si="5"/>
        <v>AP</v>
      </c>
      <c r="G328" s="78" t="str">
        <f t="shared" si="2"/>
        <v>KAL1-E-1045-AP</v>
      </c>
      <c r="H328" s="78" t="s">
        <v>230</v>
      </c>
      <c r="I328" s="78" t="s">
        <v>417</v>
      </c>
      <c r="J328" s="78" t="s">
        <v>301</v>
      </c>
      <c r="K328" s="184">
        <v>102.0</v>
      </c>
      <c r="L328" s="137">
        <v>580000.0</v>
      </c>
      <c r="M328" s="78" t="s">
        <v>296</v>
      </c>
      <c r="N328" s="137">
        <v>2.0</v>
      </c>
      <c r="O328" s="185">
        <v>2.0</v>
      </c>
      <c r="P328" s="167" t="s">
        <v>412</v>
      </c>
      <c r="Q328" s="183"/>
      <c r="R328" s="78" t="s">
        <v>307</v>
      </c>
      <c r="S328" s="189">
        <v>4.0</v>
      </c>
      <c r="T328" s="80"/>
      <c r="U328" s="168"/>
      <c r="V328" s="187"/>
      <c r="W328" s="130"/>
      <c r="X328" s="188" t="s">
        <v>231</v>
      </c>
      <c r="Y328" s="78" t="s">
        <v>86</v>
      </c>
      <c r="Z328" s="78" t="s">
        <v>87</v>
      </c>
      <c r="AA328" s="167" t="s">
        <v>233</v>
      </c>
      <c r="AB328" s="79" t="s">
        <v>416</v>
      </c>
      <c r="AC328" s="130"/>
      <c r="AD328" s="130"/>
    </row>
    <row r="329">
      <c r="A329" s="78">
        <v>34.0</v>
      </c>
      <c r="B329" s="57" t="s">
        <v>228</v>
      </c>
      <c r="C329" s="78" t="s">
        <v>229</v>
      </c>
      <c r="D329" s="80"/>
      <c r="E329" s="137">
        <v>1046.0</v>
      </c>
      <c r="F329" s="9" t="str">
        <f t="shared" si="5"/>
        <v>AP</v>
      </c>
      <c r="G329" s="78" t="str">
        <f t="shared" si="2"/>
        <v>KAL1-E-1046-AP</v>
      </c>
      <c r="H329" s="78" t="s">
        <v>230</v>
      </c>
      <c r="I329" s="78" t="s">
        <v>417</v>
      </c>
      <c r="J329" s="78" t="s">
        <v>301</v>
      </c>
      <c r="K329" s="184">
        <v>102.0</v>
      </c>
      <c r="L329" s="137">
        <v>570000.0</v>
      </c>
      <c r="M329" s="78" t="s">
        <v>296</v>
      </c>
      <c r="N329" s="137">
        <v>2.0</v>
      </c>
      <c r="O329" s="185">
        <v>2.0</v>
      </c>
      <c r="P329" s="167" t="s">
        <v>412</v>
      </c>
      <c r="Q329" s="183"/>
      <c r="R329" s="78" t="s">
        <v>307</v>
      </c>
      <c r="S329" s="189">
        <v>4.0</v>
      </c>
      <c r="T329" s="80"/>
      <c r="U329" s="168"/>
      <c r="V329" s="187"/>
      <c r="W329" s="130"/>
      <c r="X329" s="188" t="s">
        <v>231</v>
      </c>
      <c r="Y329" s="78" t="s">
        <v>86</v>
      </c>
      <c r="Z329" s="78" t="s">
        <v>87</v>
      </c>
      <c r="AA329" s="167" t="s">
        <v>233</v>
      </c>
      <c r="AB329" s="79" t="s">
        <v>416</v>
      </c>
      <c r="AC329" s="130"/>
      <c r="AD329" s="130"/>
    </row>
    <row r="330">
      <c r="A330" s="78">
        <v>34.0</v>
      </c>
      <c r="B330" s="57" t="s">
        <v>228</v>
      </c>
      <c r="C330" s="78" t="s">
        <v>229</v>
      </c>
      <c r="D330" s="80"/>
      <c r="E330" s="137">
        <v>1047.0</v>
      </c>
      <c r="F330" s="9" t="str">
        <f t="shared" si="5"/>
        <v>AP</v>
      </c>
      <c r="G330" s="78" t="str">
        <f t="shared" si="2"/>
        <v>KAL1-A-1047-AP</v>
      </c>
      <c r="H330" s="78" t="s">
        <v>230</v>
      </c>
      <c r="I330" s="78" t="s">
        <v>294</v>
      </c>
      <c r="J330" s="78" t="s">
        <v>301</v>
      </c>
      <c r="K330" s="184">
        <v>133.0</v>
      </c>
      <c r="L330" s="137">
        <v>755000.0</v>
      </c>
      <c r="M330" s="78" t="s">
        <v>296</v>
      </c>
      <c r="N330" s="137">
        <v>3.0</v>
      </c>
      <c r="O330" s="185">
        <v>2.0</v>
      </c>
      <c r="P330" s="167" t="s">
        <v>412</v>
      </c>
      <c r="Q330" s="183"/>
      <c r="R330" s="78" t="s">
        <v>307</v>
      </c>
      <c r="S330" s="189">
        <v>4.0</v>
      </c>
      <c r="T330" s="80"/>
      <c r="U330" s="168"/>
      <c r="V330" s="187"/>
      <c r="W330" s="130"/>
      <c r="X330" s="188" t="s">
        <v>231</v>
      </c>
      <c r="Y330" s="78" t="s">
        <v>86</v>
      </c>
      <c r="Z330" s="78" t="s">
        <v>87</v>
      </c>
      <c r="AA330" s="167" t="s">
        <v>233</v>
      </c>
      <c r="AB330" s="79" t="s">
        <v>413</v>
      </c>
      <c r="AC330" s="130"/>
      <c r="AD330" s="130"/>
    </row>
    <row r="331">
      <c r="A331" s="78">
        <v>34.0</v>
      </c>
      <c r="B331" s="57" t="s">
        <v>228</v>
      </c>
      <c r="C331" s="78" t="s">
        <v>229</v>
      </c>
      <c r="D331" s="80"/>
      <c r="E331" s="137">
        <v>1048.0</v>
      </c>
      <c r="F331" s="9" t="str">
        <f t="shared" si="5"/>
        <v>AP</v>
      </c>
      <c r="G331" s="78" t="str">
        <f t="shared" si="2"/>
        <v>KAL1-A-1048-AP</v>
      </c>
      <c r="H331" s="78" t="s">
        <v>230</v>
      </c>
      <c r="I331" s="78" t="s">
        <v>294</v>
      </c>
      <c r="J331" s="78" t="s">
        <v>301</v>
      </c>
      <c r="K331" s="184">
        <v>135.0</v>
      </c>
      <c r="L331" s="137">
        <v>715000.0</v>
      </c>
      <c r="M331" s="78" t="s">
        <v>296</v>
      </c>
      <c r="N331" s="137">
        <v>3.0</v>
      </c>
      <c r="O331" s="185">
        <v>2.0</v>
      </c>
      <c r="P331" s="167" t="s">
        <v>412</v>
      </c>
      <c r="Q331" s="183"/>
      <c r="R331" s="78" t="s">
        <v>307</v>
      </c>
      <c r="S331" s="189">
        <v>4.0</v>
      </c>
      <c r="T331" s="80"/>
      <c r="U331" s="168"/>
      <c r="V331" s="187"/>
      <c r="W331" s="130"/>
      <c r="X331" s="188" t="s">
        <v>231</v>
      </c>
      <c r="Y331" s="78" t="s">
        <v>86</v>
      </c>
      <c r="Z331" s="78" t="s">
        <v>87</v>
      </c>
      <c r="AA331" s="167" t="s">
        <v>233</v>
      </c>
      <c r="AB331" s="79" t="s">
        <v>413</v>
      </c>
      <c r="AC331" s="130"/>
      <c r="AD331" s="130"/>
    </row>
    <row r="332">
      <c r="A332" s="78">
        <v>34.0</v>
      </c>
      <c r="B332" s="57" t="s">
        <v>228</v>
      </c>
      <c r="C332" s="78" t="s">
        <v>229</v>
      </c>
      <c r="D332" s="80"/>
      <c r="E332" s="137">
        <v>1051.0</v>
      </c>
      <c r="F332" s="9" t="str">
        <f t="shared" si="5"/>
        <v>AP</v>
      </c>
      <c r="G332" s="78" t="str">
        <f t="shared" si="2"/>
        <v>KAL1-D-1051-AP</v>
      </c>
      <c r="H332" s="78" t="s">
        <v>230</v>
      </c>
      <c r="I332" s="78" t="s">
        <v>319</v>
      </c>
      <c r="J332" s="78" t="s">
        <v>301</v>
      </c>
      <c r="K332" s="184">
        <v>88.0</v>
      </c>
      <c r="L332" s="137">
        <v>525000.0</v>
      </c>
      <c r="M332" s="78" t="s">
        <v>296</v>
      </c>
      <c r="N332" s="137">
        <v>2.0</v>
      </c>
      <c r="O332" s="185">
        <v>2.0</v>
      </c>
      <c r="P332" s="167" t="s">
        <v>412</v>
      </c>
      <c r="Q332" s="183"/>
      <c r="R332" s="78" t="s">
        <v>307</v>
      </c>
      <c r="S332" s="189">
        <v>5.0</v>
      </c>
      <c r="T332" s="80"/>
      <c r="U332" s="168"/>
      <c r="V332" s="187"/>
      <c r="W332" s="130"/>
      <c r="X332" s="188" t="s">
        <v>231</v>
      </c>
      <c r="Y332" s="78" t="s">
        <v>86</v>
      </c>
      <c r="Z332" s="78" t="s">
        <v>87</v>
      </c>
      <c r="AA332" s="167" t="s">
        <v>233</v>
      </c>
      <c r="AB332" s="79" t="s">
        <v>413</v>
      </c>
      <c r="AC332" s="130"/>
      <c r="AD332" s="130"/>
    </row>
    <row r="333">
      <c r="A333" s="78">
        <v>34.0</v>
      </c>
      <c r="B333" s="57" t="s">
        <v>228</v>
      </c>
      <c r="C333" s="78" t="s">
        <v>229</v>
      </c>
      <c r="D333" s="80"/>
      <c r="E333" s="137">
        <v>1052.0</v>
      </c>
      <c r="F333" s="9" t="str">
        <f t="shared" si="5"/>
        <v>AP</v>
      </c>
      <c r="G333" s="78" t="str">
        <f t="shared" si="2"/>
        <v>KAL1-F-1052-AP</v>
      </c>
      <c r="H333" s="78" t="s">
        <v>230</v>
      </c>
      <c r="I333" s="78" t="s">
        <v>414</v>
      </c>
      <c r="J333" s="78" t="s">
        <v>301</v>
      </c>
      <c r="K333" s="184">
        <v>68.0</v>
      </c>
      <c r="L333" s="137">
        <v>480000.0</v>
      </c>
      <c r="M333" s="78" t="s">
        <v>296</v>
      </c>
      <c r="N333" s="137">
        <v>1.0</v>
      </c>
      <c r="O333" s="185">
        <v>1.0</v>
      </c>
      <c r="P333" s="167" t="s">
        <v>415</v>
      </c>
      <c r="Q333" s="183"/>
      <c r="R333" s="78" t="s">
        <v>307</v>
      </c>
      <c r="S333" s="189">
        <v>5.0</v>
      </c>
      <c r="T333" s="80"/>
      <c r="U333" s="168"/>
      <c r="V333" s="187"/>
      <c r="W333" s="130"/>
      <c r="X333" s="188" t="s">
        <v>231</v>
      </c>
      <c r="Y333" s="78" t="s">
        <v>86</v>
      </c>
      <c r="Z333" s="78" t="s">
        <v>87</v>
      </c>
      <c r="AA333" s="167" t="s">
        <v>233</v>
      </c>
      <c r="AB333" s="79" t="s">
        <v>413</v>
      </c>
      <c r="AC333" s="130"/>
      <c r="AD333" s="130"/>
    </row>
    <row r="334">
      <c r="A334" s="78">
        <v>34.0</v>
      </c>
      <c r="B334" s="57" t="s">
        <v>228</v>
      </c>
      <c r="C334" s="78" t="s">
        <v>229</v>
      </c>
      <c r="D334" s="80"/>
      <c r="E334" s="137">
        <v>1053.0</v>
      </c>
      <c r="F334" s="9" t="str">
        <f t="shared" si="5"/>
        <v>AP</v>
      </c>
      <c r="G334" s="78" t="str">
        <f t="shared" si="2"/>
        <v>KAL1-C-1053-AP</v>
      </c>
      <c r="H334" s="78" t="s">
        <v>230</v>
      </c>
      <c r="I334" s="78" t="s">
        <v>317</v>
      </c>
      <c r="J334" s="78" t="s">
        <v>301</v>
      </c>
      <c r="K334" s="184">
        <v>109.0</v>
      </c>
      <c r="L334" s="137">
        <v>610000.0</v>
      </c>
      <c r="M334" s="78" t="s">
        <v>296</v>
      </c>
      <c r="N334" s="137">
        <v>2.0</v>
      </c>
      <c r="O334" s="185">
        <v>2.0</v>
      </c>
      <c r="P334" s="167" t="s">
        <v>412</v>
      </c>
      <c r="Q334" s="183"/>
      <c r="R334" s="78" t="s">
        <v>307</v>
      </c>
      <c r="S334" s="189">
        <v>5.0</v>
      </c>
      <c r="T334" s="80"/>
      <c r="U334" s="168"/>
      <c r="V334" s="187"/>
      <c r="W334" s="130"/>
      <c r="X334" s="188" t="s">
        <v>231</v>
      </c>
      <c r="Y334" s="78" t="s">
        <v>86</v>
      </c>
      <c r="Z334" s="78" t="s">
        <v>87</v>
      </c>
      <c r="AA334" s="167" t="s">
        <v>233</v>
      </c>
      <c r="AB334" s="79" t="s">
        <v>413</v>
      </c>
      <c r="AC334" s="130"/>
      <c r="AD334" s="130"/>
    </row>
    <row r="335">
      <c r="A335" s="78">
        <v>34.0</v>
      </c>
      <c r="B335" s="57" t="s">
        <v>228</v>
      </c>
      <c r="C335" s="78" t="s">
        <v>229</v>
      </c>
      <c r="D335" s="80"/>
      <c r="E335" s="137">
        <v>1054.0</v>
      </c>
      <c r="F335" s="9" t="str">
        <f t="shared" si="5"/>
        <v>AP</v>
      </c>
      <c r="G335" s="78" t="str">
        <f t="shared" si="2"/>
        <v>KAL1-B-1054-AP</v>
      </c>
      <c r="H335" s="78" t="s">
        <v>230</v>
      </c>
      <c r="I335" s="78" t="s">
        <v>303</v>
      </c>
      <c r="J335" s="78" t="s">
        <v>301</v>
      </c>
      <c r="K335" s="184">
        <v>134.0</v>
      </c>
      <c r="L335" s="137">
        <v>715000.0</v>
      </c>
      <c r="M335" s="78" t="s">
        <v>296</v>
      </c>
      <c r="N335" s="137">
        <v>3.0</v>
      </c>
      <c r="O335" s="185">
        <v>2.0</v>
      </c>
      <c r="P335" s="167" t="s">
        <v>412</v>
      </c>
      <c r="Q335" s="183"/>
      <c r="R335" s="78" t="s">
        <v>307</v>
      </c>
      <c r="S335" s="189">
        <v>5.0</v>
      </c>
      <c r="T335" s="80"/>
      <c r="U335" s="168"/>
      <c r="V335" s="187"/>
      <c r="W335" s="130"/>
      <c r="X335" s="188" t="s">
        <v>231</v>
      </c>
      <c r="Y335" s="78" t="s">
        <v>86</v>
      </c>
      <c r="Z335" s="78" t="s">
        <v>87</v>
      </c>
      <c r="AA335" s="167" t="s">
        <v>233</v>
      </c>
      <c r="AB335" s="79" t="s">
        <v>416</v>
      </c>
      <c r="AC335" s="130"/>
      <c r="AD335" s="130"/>
    </row>
    <row r="336">
      <c r="A336" s="78">
        <v>34.0</v>
      </c>
      <c r="B336" s="57" t="s">
        <v>228</v>
      </c>
      <c r="C336" s="78" t="s">
        <v>229</v>
      </c>
      <c r="D336" s="80"/>
      <c r="E336" s="137">
        <v>1055.0</v>
      </c>
      <c r="F336" s="9" t="str">
        <f t="shared" si="5"/>
        <v>AP</v>
      </c>
      <c r="G336" s="78" t="str">
        <f t="shared" si="2"/>
        <v>KAL1-E-1055-AP</v>
      </c>
      <c r="H336" s="78" t="s">
        <v>230</v>
      </c>
      <c r="I336" s="78" t="s">
        <v>417</v>
      </c>
      <c r="J336" s="78" t="s">
        <v>301</v>
      </c>
      <c r="K336" s="184">
        <v>102.0</v>
      </c>
      <c r="L336" s="137">
        <v>570000.0</v>
      </c>
      <c r="M336" s="78" t="s">
        <v>296</v>
      </c>
      <c r="N336" s="137">
        <v>2.0</v>
      </c>
      <c r="O336" s="185">
        <v>2.0</v>
      </c>
      <c r="P336" s="167" t="s">
        <v>412</v>
      </c>
      <c r="Q336" s="183"/>
      <c r="R336" s="78" t="s">
        <v>307</v>
      </c>
      <c r="S336" s="189">
        <v>5.0</v>
      </c>
      <c r="T336" s="80"/>
      <c r="U336" s="168"/>
      <c r="V336" s="187"/>
      <c r="W336" s="130"/>
      <c r="X336" s="188" t="s">
        <v>231</v>
      </c>
      <c r="Y336" s="78" t="s">
        <v>86</v>
      </c>
      <c r="Z336" s="78" t="s">
        <v>87</v>
      </c>
      <c r="AA336" s="167" t="s">
        <v>233</v>
      </c>
      <c r="AB336" s="79" t="s">
        <v>416</v>
      </c>
      <c r="AC336" s="130"/>
      <c r="AD336" s="130"/>
    </row>
    <row r="337">
      <c r="A337" s="78">
        <v>34.0</v>
      </c>
      <c r="B337" s="57" t="s">
        <v>228</v>
      </c>
      <c r="C337" s="78" t="s">
        <v>229</v>
      </c>
      <c r="D337" s="80"/>
      <c r="E337" s="137">
        <v>1056.0</v>
      </c>
      <c r="F337" s="9" t="str">
        <f t="shared" si="5"/>
        <v>AP</v>
      </c>
      <c r="G337" s="78" t="str">
        <f t="shared" si="2"/>
        <v>KAL1-E-1056-AP</v>
      </c>
      <c r="H337" s="78" t="s">
        <v>230</v>
      </c>
      <c r="I337" s="78" t="s">
        <v>417</v>
      </c>
      <c r="J337" s="78" t="s">
        <v>301</v>
      </c>
      <c r="K337" s="184">
        <v>102.0</v>
      </c>
      <c r="L337" s="137">
        <v>570000.0</v>
      </c>
      <c r="M337" s="78" t="s">
        <v>296</v>
      </c>
      <c r="N337" s="137">
        <v>2.0</v>
      </c>
      <c r="O337" s="185">
        <v>2.0</v>
      </c>
      <c r="P337" s="167" t="s">
        <v>412</v>
      </c>
      <c r="Q337" s="183"/>
      <c r="R337" s="78" t="s">
        <v>307</v>
      </c>
      <c r="S337" s="189">
        <v>5.0</v>
      </c>
      <c r="T337" s="80"/>
      <c r="U337" s="168"/>
      <c r="V337" s="187"/>
      <c r="W337" s="130"/>
      <c r="X337" s="188" t="s">
        <v>231</v>
      </c>
      <c r="Y337" s="78" t="s">
        <v>86</v>
      </c>
      <c r="Z337" s="78" t="s">
        <v>87</v>
      </c>
      <c r="AA337" s="167" t="s">
        <v>233</v>
      </c>
      <c r="AB337" s="79" t="s">
        <v>416</v>
      </c>
      <c r="AC337" s="130"/>
      <c r="AD337" s="130"/>
    </row>
    <row r="338">
      <c r="A338" s="78">
        <v>34.0</v>
      </c>
      <c r="B338" s="57" t="s">
        <v>228</v>
      </c>
      <c r="C338" s="78" t="s">
        <v>229</v>
      </c>
      <c r="D338" s="80"/>
      <c r="E338" s="137">
        <v>1057.0</v>
      </c>
      <c r="F338" s="9" t="str">
        <f t="shared" si="5"/>
        <v>AP</v>
      </c>
      <c r="G338" s="78" t="str">
        <f t="shared" si="2"/>
        <v>KAL1-A-1057-AP</v>
      </c>
      <c r="H338" s="78" t="s">
        <v>230</v>
      </c>
      <c r="I338" s="78" t="s">
        <v>294</v>
      </c>
      <c r="J338" s="78" t="s">
        <v>301</v>
      </c>
      <c r="K338" s="184">
        <v>133.0</v>
      </c>
      <c r="L338" s="137">
        <v>760000.0</v>
      </c>
      <c r="M338" s="78" t="s">
        <v>296</v>
      </c>
      <c r="N338" s="137">
        <v>3.0</v>
      </c>
      <c r="O338" s="185">
        <v>2.0</v>
      </c>
      <c r="P338" s="167" t="s">
        <v>412</v>
      </c>
      <c r="Q338" s="183"/>
      <c r="R338" s="78" t="s">
        <v>307</v>
      </c>
      <c r="S338" s="189">
        <v>5.0</v>
      </c>
      <c r="T338" s="80"/>
      <c r="U338" s="168"/>
      <c r="V338" s="187"/>
      <c r="W338" s="130"/>
      <c r="X338" s="188" t="s">
        <v>231</v>
      </c>
      <c r="Y338" s="78" t="s">
        <v>86</v>
      </c>
      <c r="Z338" s="78" t="s">
        <v>87</v>
      </c>
      <c r="AA338" s="167" t="s">
        <v>233</v>
      </c>
      <c r="AB338" s="79" t="s">
        <v>413</v>
      </c>
      <c r="AC338" s="130"/>
      <c r="AD338" s="130"/>
    </row>
    <row r="339">
      <c r="A339" s="78">
        <v>34.0</v>
      </c>
      <c r="B339" s="57" t="s">
        <v>228</v>
      </c>
      <c r="C339" s="78" t="s">
        <v>229</v>
      </c>
      <c r="D339" s="80"/>
      <c r="E339" s="137">
        <v>1058.0</v>
      </c>
      <c r="F339" s="9" t="str">
        <f t="shared" si="5"/>
        <v>AP</v>
      </c>
      <c r="G339" s="78" t="str">
        <f t="shared" si="2"/>
        <v>KAL1-A-1058-AP</v>
      </c>
      <c r="H339" s="78" t="s">
        <v>230</v>
      </c>
      <c r="I339" s="78" t="s">
        <v>294</v>
      </c>
      <c r="J339" s="78" t="s">
        <v>301</v>
      </c>
      <c r="K339" s="184">
        <v>135.0</v>
      </c>
      <c r="L339" s="137">
        <v>715000.0</v>
      </c>
      <c r="M339" s="78" t="s">
        <v>296</v>
      </c>
      <c r="N339" s="137">
        <v>3.0</v>
      </c>
      <c r="O339" s="185">
        <v>2.0</v>
      </c>
      <c r="P339" s="167" t="s">
        <v>412</v>
      </c>
      <c r="Q339" s="183"/>
      <c r="R339" s="78" t="s">
        <v>307</v>
      </c>
      <c r="S339" s="189">
        <v>5.0</v>
      </c>
      <c r="T339" s="80"/>
      <c r="U339" s="168"/>
      <c r="V339" s="187"/>
      <c r="W339" s="130"/>
      <c r="X339" s="188" t="s">
        <v>231</v>
      </c>
      <c r="Y339" s="78" t="s">
        <v>86</v>
      </c>
      <c r="Z339" s="78" t="s">
        <v>87</v>
      </c>
      <c r="AA339" s="167" t="s">
        <v>233</v>
      </c>
      <c r="AB339" s="79" t="s">
        <v>413</v>
      </c>
      <c r="AC339" s="130"/>
      <c r="AD339" s="130"/>
    </row>
    <row r="340">
      <c r="A340" s="78">
        <v>34.0</v>
      </c>
      <c r="B340" s="57" t="s">
        <v>228</v>
      </c>
      <c r="C340" s="78" t="s">
        <v>229</v>
      </c>
      <c r="D340" s="80"/>
      <c r="E340" s="137">
        <v>1061.0</v>
      </c>
      <c r="F340" s="9" t="str">
        <f t="shared" si="5"/>
        <v>AP</v>
      </c>
      <c r="G340" s="78" t="str">
        <f t="shared" si="2"/>
        <v>KAL1-D-1061-AP</v>
      </c>
      <c r="H340" s="78" t="s">
        <v>230</v>
      </c>
      <c r="I340" s="78" t="s">
        <v>319</v>
      </c>
      <c r="J340" s="78" t="s">
        <v>301</v>
      </c>
      <c r="K340" s="184">
        <v>88.0</v>
      </c>
      <c r="L340" s="137">
        <v>530000.0</v>
      </c>
      <c r="M340" s="78" t="s">
        <v>296</v>
      </c>
      <c r="N340" s="137">
        <v>2.0</v>
      </c>
      <c r="O340" s="185">
        <v>2.0</v>
      </c>
      <c r="P340" s="167" t="s">
        <v>412</v>
      </c>
      <c r="Q340" s="183"/>
      <c r="R340" s="78" t="s">
        <v>307</v>
      </c>
      <c r="S340" s="189">
        <v>6.0</v>
      </c>
      <c r="T340" s="80"/>
      <c r="U340" s="168"/>
      <c r="V340" s="187"/>
      <c r="W340" s="130"/>
      <c r="X340" s="188" t="s">
        <v>231</v>
      </c>
      <c r="Y340" s="78" t="s">
        <v>86</v>
      </c>
      <c r="Z340" s="78" t="s">
        <v>87</v>
      </c>
      <c r="AA340" s="167" t="s">
        <v>233</v>
      </c>
      <c r="AB340" s="79" t="s">
        <v>413</v>
      </c>
      <c r="AC340" s="130"/>
      <c r="AD340" s="130"/>
    </row>
    <row r="341">
      <c r="A341" s="78">
        <v>34.0</v>
      </c>
      <c r="B341" s="57" t="s">
        <v>228</v>
      </c>
      <c r="C341" s="78" t="s">
        <v>229</v>
      </c>
      <c r="D341" s="80"/>
      <c r="E341" s="137">
        <v>1062.0</v>
      </c>
      <c r="F341" s="9" t="str">
        <f t="shared" si="5"/>
        <v>AP</v>
      </c>
      <c r="G341" s="78" t="str">
        <f t="shared" si="2"/>
        <v>KAL1-F-1062-AP</v>
      </c>
      <c r="H341" s="78" t="s">
        <v>230</v>
      </c>
      <c r="I341" s="78" t="s">
        <v>414</v>
      </c>
      <c r="J341" s="78" t="s">
        <v>301</v>
      </c>
      <c r="K341" s="184">
        <v>68.0</v>
      </c>
      <c r="L341" s="137">
        <v>475000.0</v>
      </c>
      <c r="M341" s="78" t="s">
        <v>296</v>
      </c>
      <c r="N341" s="137">
        <v>1.0</v>
      </c>
      <c r="O341" s="185">
        <v>1.0</v>
      </c>
      <c r="P341" s="167" t="s">
        <v>415</v>
      </c>
      <c r="Q341" s="183"/>
      <c r="R341" s="78" t="s">
        <v>307</v>
      </c>
      <c r="S341" s="189">
        <v>6.0</v>
      </c>
      <c r="T341" s="80"/>
      <c r="U341" s="168"/>
      <c r="V341" s="187"/>
      <c r="W341" s="130"/>
      <c r="X341" s="188" t="s">
        <v>231</v>
      </c>
      <c r="Y341" s="78" t="s">
        <v>86</v>
      </c>
      <c r="Z341" s="78" t="s">
        <v>87</v>
      </c>
      <c r="AA341" s="167" t="s">
        <v>233</v>
      </c>
      <c r="AB341" s="79" t="s">
        <v>413</v>
      </c>
      <c r="AC341" s="130"/>
      <c r="AD341" s="130"/>
    </row>
    <row r="342">
      <c r="A342" s="78">
        <v>34.0</v>
      </c>
      <c r="B342" s="57" t="s">
        <v>228</v>
      </c>
      <c r="C342" s="78" t="s">
        <v>229</v>
      </c>
      <c r="D342" s="80"/>
      <c r="E342" s="137">
        <v>1063.0</v>
      </c>
      <c r="F342" s="9" t="str">
        <f t="shared" si="5"/>
        <v>AP</v>
      </c>
      <c r="G342" s="78" t="str">
        <f t="shared" si="2"/>
        <v>KAL1-C-1063-AP</v>
      </c>
      <c r="H342" s="78" t="s">
        <v>230</v>
      </c>
      <c r="I342" s="78" t="s">
        <v>317</v>
      </c>
      <c r="J342" s="78" t="s">
        <v>301</v>
      </c>
      <c r="K342" s="184">
        <v>109.0</v>
      </c>
      <c r="L342" s="137">
        <v>610000.0</v>
      </c>
      <c r="M342" s="78" t="s">
        <v>296</v>
      </c>
      <c r="N342" s="137">
        <v>2.0</v>
      </c>
      <c r="O342" s="185">
        <v>2.0</v>
      </c>
      <c r="P342" s="167" t="s">
        <v>412</v>
      </c>
      <c r="Q342" s="183"/>
      <c r="R342" s="78" t="s">
        <v>307</v>
      </c>
      <c r="S342" s="189">
        <v>6.0</v>
      </c>
      <c r="T342" s="80"/>
      <c r="U342" s="168"/>
      <c r="V342" s="187"/>
      <c r="W342" s="130"/>
      <c r="X342" s="188" t="s">
        <v>231</v>
      </c>
      <c r="Y342" s="78" t="s">
        <v>86</v>
      </c>
      <c r="Z342" s="78" t="s">
        <v>87</v>
      </c>
      <c r="AA342" s="167" t="s">
        <v>233</v>
      </c>
      <c r="AB342" s="79" t="s">
        <v>413</v>
      </c>
      <c r="AC342" s="130"/>
      <c r="AD342" s="130"/>
    </row>
    <row r="343">
      <c r="A343" s="78">
        <v>34.0</v>
      </c>
      <c r="B343" s="57" t="s">
        <v>228</v>
      </c>
      <c r="C343" s="78" t="s">
        <v>229</v>
      </c>
      <c r="D343" s="80"/>
      <c r="E343" s="137">
        <v>1064.0</v>
      </c>
      <c r="F343" s="9" t="str">
        <f t="shared" si="5"/>
        <v>AP</v>
      </c>
      <c r="G343" s="78" t="str">
        <f t="shared" si="2"/>
        <v>KAL1-B-1064-AP</v>
      </c>
      <c r="H343" s="78" t="s">
        <v>230</v>
      </c>
      <c r="I343" s="78" t="s">
        <v>303</v>
      </c>
      <c r="J343" s="78" t="s">
        <v>301</v>
      </c>
      <c r="K343" s="184">
        <v>134.0</v>
      </c>
      <c r="L343" s="137">
        <v>720000.0</v>
      </c>
      <c r="M343" s="78" t="s">
        <v>296</v>
      </c>
      <c r="N343" s="137">
        <v>3.0</v>
      </c>
      <c r="O343" s="185">
        <v>2.0</v>
      </c>
      <c r="P343" s="167" t="s">
        <v>412</v>
      </c>
      <c r="Q343" s="183"/>
      <c r="R343" s="78" t="s">
        <v>307</v>
      </c>
      <c r="S343" s="189">
        <v>6.0</v>
      </c>
      <c r="T343" s="80"/>
      <c r="U343" s="168"/>
      <c r="V343" s="187"/>
      <c r="W343" s="130"/>
      <c r="X343" s="188" t="s">
        <v>231</v>
      </c>
      <c r="Y343" s="78" t="s">
        <v>86</v>
      </c>
      <c r="Z343" s="78" t="s">
        <v>87</v>
      </c>
      <c r="AA343" s="167" t="s">
        <v>233</v>
      </c>
      <c r="AB343" s="79" t="s">
        <v>416</v>
      </c>
      <c r="AC343" s="130"/>
      <c r="AD343" s="130"/>
    </row>
    <row r="344">
      <c r="A344" s="78">
        <v>34.0</v>
      </c>
      <c r="B344" s="57" t="s">
        <v>228</v>
      </c>
      <c r="C344" s="78" t="s">
        <v>229</v>
      </c>
      <c r="D344" s="80"/>
      <c r="E344" s="137">
        <v>1065.0</v>
      </c>
      <c r="F344" s="9" t="str">
        <f t="shared" si="5"/>
        <v>AP</v>
      </c>
      <c r="G344" s="78" t="str">
        <f t="shared" si="2"/>
        <v>KAL1-E-1065-AP</v>
      </c>
      <c r="H344" s="78" t="s">
        <v>230</v>
      </c>
      <c r="I344" s="78" t="s">
        <v>417</v>
      </c>
      <c r="J344" s="78" t="s">
        <v>301</v>
      </c>
      <c r="K344" s="184">
        <v>102.0</v>
      </c>
      <c r="L344" s="137">
        <v>565000.0</v>
      </c>
      <c r="M344" s="78" t="s">
        <v>296</v>
      </c>
      <c r="N344" s="137">
        <v>2.0</v>
      </c>
      <c r="O344" s="185">
        <v>2.0</v>
      </c>
      <c r="P344" s="167" t="s">
        <v>412</v>
      </c>
      <c r="Q344" s="183"/>
      <c r="R344" s="78" t="s">
        <v>307</v>
      </c>
      <c r="S344" s="189">
        <v>6.0</v>
      </c>
      <c r="T344" s="80"/>
      <c r="U344" s="168"/>
      <c r="V344" s="187"/>
      <c r="W344" s="130"/>
      <c r="X344" s="188" t="s">
        <v>231</v>
      </c>
      <c r="Y344" s="78" t="s">
        <v>86</v>
      </c>
      <c r="Z344" s="78" t="s">
        <v>87</v>
      </c>
      <c r="AA344" s="167" t="s">
        <v>233</v>
      </c>
      <c r="AB344" s="79" t="s">
        <v>416</v>
      </c>
      <c r="AC344" s="130"/>
      <c r="AD344" s="130"/>
    </row>
    <row r="345">
      <c r="A345" s="78">
        <v>34.0</v>
      </c>
      <c r="B345" s="57" t="s">
        <v>228</v>
      </c>
      <c r="C345" s="78" t="s">
        <v>229</v>
      </c>
      <c r="D345" s="80"/>
      <c r="E345" s="137">
        <v>1066.0</v>
      </c>
      <c r="F345" s="9" t="str">
        <f t="shared" si="5"/>
        <v>AP</v>
      </c>
      <c r="G345" s="78" t="str">
        <f t="shared" si="2"/>
        <v>KAL1-E-1066-AP</v>
      </c>
      <c r="H345" s="78" t="s">
        <v>230</v>
      </c>
      <c r="I345" s="78" t="s">
        <v>417</v>
      </c>
      <c r="J345" s="78" t="s">
        <v>301</v>
      </c>
      <c r="K345" s="184">
        <v>102.0</v>
      </c>
      <c r="L345" s="137">
        <v>570000.0</v>
      </c>
      <c r="M345" s="78" t="s">
        <v>296</v>
      </c>
      <c r="N345" s="137">
        <v>2.0</v>
      </c>
      <c r="O345" s="185">
        <v>2.0</v>
      </c>
      <c r="P345" s="167" t="s">
        <v>412</v>
      </c>
      <c r="Q345" s="183"/>
      <c r="R345" s="78" t="s">
        <v>307</v>
      </c>
      <c r="S345" s="189">
        <v>6.0</v>
      </c>
      <c r="T345" s="80"/>
      <c r="U345" s="168"/>
      <c r="V345" s="187"/>
      <c r="W345" s="130"/>
      <c r="X345" s="188" t="s">
        <v>231</v>
      </c>
      <c r="Y345" s="78" t="s">
        <v>86</v>
      </c>
      <c r="Z345" s="78" t="s">
        <v>87</v>
      </c>
      <c r="AA345" s="167" t="s">
        <v>233</v>
      </c>
      <c r="AB345" s="79" t="s">
        <v>416</v>
      </c>
      <c r="AC345" s="130"/>
      <c r="AD345" s="130"/>
    </row>
    <row r="346">
      <c r="A346" s="78">
        <v>34.0</v>
      </c>
      <c r="B346" s="57" t="s">
        <v>228</v>
      </c>
      <c r="C346" s="78" t="s">
        <v>229</v>
      </c>
      <c r="D346" s="80"/>
      <c r="E346" s="137">
        <v>1067.0</v>
      </c>
      <c r="F346" s="9" t="str">
        <f t="shared" si="5"/>
        <v>AP</v>
      </c>
      <c r="G346" s="78" t="str">
        <f t="shared" si="2"/>
        <v>KAL1-A-1067-AP</v>
      </c>
      <c r="H346" s="78" t="s">
        <v>230</v>
      </c>
      <c r="I346" s="78" t="s">
        <v>294</v>
      </c>
      <c r="J346" s="78" t="s">
        <v>301</v>
      </c>
      <c r="K346" s="184">
        <v>133.0</v>
      </c>
      <c r="L346" s="137">
        <v>760000.0</v>
      </c>
      <c r="M346" s="78" t="s">
        <v>296</v>
      </c>
      <c r="N346" s="137">
        <v>3.0</v>
      </c>
      <c r="O346" s="185">
        <v>2.0</v>
      </c>
      <c r="P346" s="167" t="s">
        <v>412</v>
      </c>
      <c r="Q346" s="183"/>
      <c r="R346" s="78" t="s">
        <v>307</v>
      </c>
      <c r="S346" s="189">
        <v>6.0</v>
      </c>
      <c r="T346" s="80"/>
      <c r="U346" s="168"/>
      <c r="V346" s="187"/>
      <c r="W346" s="130"/>
      <c r="X346" s="188" t="s">
        <v>231</v>
      </c>
      <c r="Y346" s="78" t="s">
        <v>86</v>
      </c>
      <c r="Z346" s="78" t="s">
        <v>87</v>
      </c>
      <c r="AA346" s="167" t="s">
        <v>233</v>
      </c>
      <c r="AB346" s="79" t="s">
        <v>413</v>
      </c>
      <c r="AC346" s="130"/>
      <c r="AD346" s="130"/>
    </row>
    <row r="347">
      <c r="A347" s="78">
        <v>34.0</v>
      </c>
      <c r="B347" s="57" t="s">
        <v>228</v>
      </c>
      <c r="C347" s="78" t="s">
        <v>229</v>
      </c>
      <c r="D347" s="80"/>
      <c r="E347" s="137">
        <v>1068.0</v>
      </c>
      <c r="F347" s="9" t="str">
        <f t="shared" si="5"/>
        <v>AP</v>
      </c>
      <c r="G347" s="78" t="str">
        <f t="shared" si="2"/>
        <v>KAL1-A-1068-AP</v>
      </c>
      <c r="H347" s="78" t="s">
        <v>230</v>
      </c>
      <c r="I347" s="78" t="s">
        <v>294</v>
      </c>
      <c r="J347" s="78" t="s">
        <v>301</v>
      </c>
      <c r="K347" s="184">
        <v>135.0</v>
      </c>
      <c r="L347" s="137">
        <v>740000.0</v>
      </c>
      <c r="M347" s="78" t="s">
        <v>296</v>
      </c>
      <c r="N347" s="137">
        <v>3.0</v>
      </c>
      <c r="O347" s="185">
        <v>2.0</v>
      </c>
      <c r="P347" s="167" t="s">
        <v>412</v>
      </c>
      <c r="Q347" s="183"/>
      <c r="R347" s="78" t="s">
        <v>307</v>
      </c>
      <c r="S347" s="189">
        <v>6.0</v>
      </c>
      <c r="T347" s="80"/>
      <c r="U347" s="168"/>
      <c r="V347" s="187"/>
      <c r="W347" s="130"/>
      <c r="X347" s="188" t="s">
        <v>231</v>
      </c>
      <c r="Y347" s="78" t="s">
        <v>86</v>
      </c>
      <c r="Z347" s="78" t="s">
        <v>87</v>
      </c>
      <c r="AA347" s="167" t="s">
        <v>233</v>
      </c>
      <c r="AB347" s="79" t="s">
        <v>413</v>
      </c>
      <c r="AC347" s="130"/>
      <c r="AD347" s="130"/>
    </row>
    <row r="348">
      <c r="A348" s="78">
        <v>34.0</v>
      </c>
      <c r="B348" s="57" t="s">
        <v>228</v>
      </c>
      <c r="C348" s="78" t="s">
        <v>229</v>
      </c>
      <c r="D348" s="80"/>
      <c r="E348" s="137">
        <v>1071.0</v>
      </c>
      <c r="F348" s="9" t="str">
        <f t="shared" si="5"/>
        <v>AP</v>
      </c>
      <c r="G348" s="78" t="str">
        <f t="shared" si="2"/>
        <v>KAL1-D-1071-AP</v>
      </c>
      <c r="H348" s="78" t="s">
        <v>230</v>
      </c>
      <c r="I348" s="78" t="s">
        <v>319</v>
      </c>
      <c r="J348" s="78" t="s">
        <v>301</v>
      </c>
      <c r="K348" s="184">
        <v>88.0</v>
      </c>
      <c r="L348" s="137">
        <v>530000.0</v>
      </c>
      <c r="M348" s="78" t="s">
        <v>296</v>
      </c>
      <c r="N348" s="137">
        <v>2.0</v>
      </c>
      <c r="O348" s="185">
        <v>2.0</v>
      </c>
      <c r="P348" s="167" t="s">
        <v>412</v>
      </c>
      <c r="Q348" s="183"/>
      <c r="R348" s="78" t="s">
        <v>307</v>
      </c>
      <c r="S348" s="189">
        <v>7.0</v>
      </c>
      <c r="T348" s="80"/>
      <c r="U348" s="168"/>
      <c r="V348" s="187"/>
      <c r="W348" s="130"/>
      <c r="X348" s="188" t="s">
        <v>231</v>
      </c>
      <c r="Y348" s="78" t="s">
        <v>86</v>
      </c>
      <c r="Z348" s="78" t="s">
        <v>87</v>
      </c>
      <c r="AA348" s="167" t="s">
        <v>233</v>
      </c>
      <c r="AB348" s="79" t="s">
        <v>413</v>
      </c>
      <c r="AC348" s="130"/>
      <c r="AD348" s="130"/>
    </row>
    <row r="349">
      <c r="A349" s="78">
        <v>34.0</v>
      </c>
      <c r="B349" s="57" t="s">
        <v>228</v>
      </c>
      <c r="C349" s="78" t="s">
        <v>229</v>
      </c>
      <c r="D349" s="80"/>
      <c r="E349" s="137">
        <v>1072.0</v>
      </c>
      <c r="F349" s="9" t="str">
        <f t="shared" si="5"/>
        <v>AP</v>
      </c>
      <c r="G349" s="78" t="str">
        <f t="shared" si="2"/>
        <v>KAL1-F-1072-AP</v>
      </c>
      <c r="H349" s="78" t="s">
        <v>230</v>
      </c>
      <c r="I349" s="78" t="s">
        <v>414</v>
      </c>
      <c r="J349" s="78" t="s">
        <v>301</v>
      </c>
      <c r="K349" s="184">
        <v>68.0</v>
      </c>
      <c r="L349" s="137">
        <v>475000.0</v>
      </c>
      <c r="M349" s="78" t="s">
        <v>296</v>
      </c>
      <c r="N349" s="137">
        <v>1.0</v>
      </c>
      <c r="O349" s="185">
        <v>1.0</v>
      </c>
      <c r="P349" s="167" t="s">
        <v>415</v>
      </c>
      <c r="Q349" s="183"/>
      <c r="R349" s="78" t="s">
        <v>307</v>
      </c>
      <c r="S349" s="189">
        <v>7.0</v>
      </c>
      <c r="T349" s="80"/>
      <c r="U349" s="168"/>
      <c r="V349" s="187"/>
      <c r="W349" s="130"/>
      <c r="X349" s="188" t="s">
        <v>231</v>
      </c>
      <c r="Y349" s="78" t="s">
        <v>86</v>
      </c>
      <c r="Z349" s="78" t="s">
        <v>87</v>
      </c>
      <c r="AA349" s="167" t="s">
        <v>233</v>
      </c>
      <c r="AB349" s="79" t="s">
        <v>413</v>
      </c>
      <c r="AC349" s="130"/>
      <c r="AD349" s="130"/>
    </row>
    <row r="350">
      <c r="A350" s="78">
        <v>34.0</v>
      </c>
      <c r="B350" s="57" t="s">
        <v>228</v>
      </c>
      <c r="C350" s="78" t="s">
        <v>229</v>
      </c>
      <c r="D350" s="80"/>
      <c r="E350" s="137">
        <v>1073.0</v>
      </c>
      <c r="F350" s="9" t="str">
        <f t="shared" si="5"/>
        <v>AP</v>
      </c>
      <c r="G350" s="78" t="str">
        <f t="shared" si="2"/>
        <v>KAL1-C-1073-AP</v>
      </c>
      <c r="H350" s="78" t="s">
        <v>230</v>
      </c>
      <c r="I350" s="78" t="s">
        <v>317</v>
      </c>
      <c r="J350" s="78" t="s">
        <v>301</v>
      </c>
      <c r="K350" s="184">
        <v>109.0</v>
      </c>
      <c r="L350" s="137">
        <v>595000.0</v>
      </c>
      <c r="M350" s="78" t="s">
        <v>296</v>
      </c>
      <c r="N350" s="137">
        <v>2.0</v>
      </c>
      <c r="O350" s="185">
        <v>2.0</v>
      </c>
      <c r="P350" s="167" t="s">
        <v>412</v>
      </c>
      <c r="Q350" s="183"/>
      <c r="R350" s="78" t="s">
        <v>307</v>
      </c>
      <c r="S350" s="189">
        <v>7.0</v>
      </c>
      <c r="T350" s="80"/>
      <c r="U350" s="168"/>
      <c r="V350" s="187"/>
      <c r="W350" s="130"/>
      <c r="X350" s="188" t="s">
        <v>231</v>
      </c>
      <c r="Y350" s="78" t="s">
        <v>86</v>
      </c>
      <c r="Z350" s="78" t="s">
        <v>87</v>
      </c>
      <c r="AA350" s="167" t="s">
        <v>233</v>
      </c>
      <c r="AB350" s="79" t="s">
        <v>413</v>
      </c>
      <c r="AC350" s="130"/>
      <c r="AD350" s="130"/>
    </row>
    <row r="351">
      <c r="A351" s="78">
        <v>34.0</v>
      </c>
      <c r="B351" s="57" t="s">
        <v>228</v>
      </c>
      <c r="C351" s="78" t="s">
        <v>229</v>
      </c>
      <c r="D351" s="80"/>
      <c r="E351" s="137">
        <v>1074.0</v>
      </c>
      <c r="F351" s="9" t="str">
        <f t="shared" si="5"/>
        <v>AP</v>
      </c>
      <c r="G351" s="78" t="str">
        <f t="shared" si="2"/>
        <v>KAL1-B-1074-AP</v>
      </c>
      <c r="H351" s="78" t="s">
        <v>230</v>
      </c>
      <c r="I351" s="78" t="s">
        <v>303</v>
      </c>
      <c r="J351" s="78" t="s">
        <v>301</v>
      </c>
      <c r="K351" s="184">
        <v>134.0</v>
      </c>
      <c r="L351" s="137">
        <v>690000.0</v>
      </c>
      <c r="M351" s="78" t="s">
        <v>296</v>
      </c>
      <c r="N351" s="137">
        <v>3.0</v>
      </c>
      <c r="O351" s="185">
        <v>2.0</v>
      </c>
      <c r="P351" s="167" t="s">
        <v>412</v>
      </c>
      <c r="Q351" s="183"/>
      <c r="R351" s="78" t="s">
        <v>307</v>
      </c>
      <c r="S351" s="189">
        <v>7.0</v>
      </c>
      <c r="T351" s="80"/>
      <c r="U351" s="168"/>
      <c r="V351" s="187"/>
      <c r="W351" s="130"/>
      <c r="X351" s="188" t="s">
        <v>231</v>
      </c>
      <c r="Y351" s="78" t="s">
        <v>86</v>
      </c>
      <c r="Z351" s="78" t="s">
        <v>87</v>
      </c>
      <c r="AA351" s="167" t="s">
        <v>233</v>
      </c>
      <c r="AB351" s="79" t="s">
        <v>416</v>
      </c>
      <c r="AC351" s="130"/>
      <c r="AD351" s="130"/>
    </row>
    <row r="352">
      <c r="A352" s="78">
        <v>34.0</v>
      </c>
      <c r="B352" s="57" t="s">
        <v>228</v>
      </c>
      <c r="C352" s="78" t="s">
        <v>229</v>
      </c>
      <c r="D352" s="80"/>
      <c r="E352" s="137">
        <v>1075.0</v>
      </c>
      <c r="F352" s="9" t="str">
        <f t="shared" si="5"/>
        <v>AP</v>
      </c>
      <c r="G352" s="78" t="str">
        <f t="shared" si="2"/>
        <v>KAL1-E-1075-AP</v>
      </c>
      <c r="H352" s="78" t="s">
        <v>230</v>
      </c>
      <c r="I352" s="78" t="s">
        <v>417</v>
      </c>
      <c r="J352" s="78" t="s">
        <v>301</v>
      </c>
      <c r="K352" s="184">
        <v>102.0</v>
      </c>
      <c r="L352" s="137">
        <v>560000.0</v>
      </c>
      <c r="M352" s="78" t="s">
        <v>296</v>
      </c>
      <c r="N352" s="137">
        <v>2.0</v>
      </c>
      <c r="O352" s="185">
        <v>2.0</v>
      </c>
      <c r="P352" s="167" t="s">
        <v>412</v>
      </c>
      <c r="Q352" s="183"/>
      <c r="R352" s="78" t="s">
        <v>307</v>
      </c>
      <c r="S352" s="189">
        <v>7.0</v>
      </c>
      <c r="T352" s="80"/>
      <c r="U352" s="168"/>
      <c r="V352" s="187"/>
      <c r="W352" s="130"/>
      <c r="X352" s="188" t="s">
        <v>231</v>
      </c>
      <c r="Y352" s="78" t="s">
        <v>86</v>
      </c>
      <c r="Z352" s="78" t="s">
        <v>87</v>
      </c>
      <c r="AA352" s="167" t="s">
        <v>233</v>
      </c>
      <c r="AB352" s="79" t="s">
        <v>416</v>
      </c>
      <c r="AC352" s="130"/>
      <c r="AD352" s="130"/>
    </row>
    <row r="353">
      <c r="A353" s="78">
        <v>34.0</v>
      </c>
      <c r="B353" s="57" t="s">
        <v>228</v>
      </c>
      <c r="C353" s="78" t="s">
        <v>229</v>
      </c>
      <c r="D353" s="80"/>
      <c r="E353" s="137">
        <v>1076.0</v>
      </c>
      <c r="F353" s="9" t="str">
        <f t="shared" si="5"/>
        <v>AP</v>
      </c>
      <c r="G353" s="78" t="str">
        <f t="shared" si="2"/>
        <v>KAL1-E-1076-AP</v>
      </c>
      <c r="H353" s="78" t="s">
        <v>230</v>
      </c>
      <c r="I353" s="78" t="s">
        <v>417</v>
      </c>
      <c r="J353" s="78" t="s">
        <v>301</v>
      </c>
      <c r="K353" s="184">
        <v>102.0</v>
      </c>
      <c r="L353" s="137">
        <v>570000.0</v>
      </c>
      <c r="M353" s="78" t="s">
        <v>296</v>
      </c>
      <c r="N353" s="137">
        <v>2.0</v>
      </c>
      <c r="O353" s="185">
        <v>2.0</v>
      </c>
      <c r="P353" s="167" t="s">
        <v>412</v>
      </c>
      <c r="Q353" s="183"/>
      <c r="R353" s="78" t="s">
        <v>307</v>
      </c>
      <c r="S353" s="189">
        <v>7.0</v>
      </c>
      <c r="T353" s="80"/>
      <c r="U353" s="168"/>
      <c r="V353" s="187"/>
      <c r="W353" s="130"/>
      <c r="X353" s="188" t="s">
        <v>231</v>
      </c>
      <c r="Y353" s="78" t="s">
        <v>86</v>
      </c>
      <c r="Z353" s="78" t="s">
        <v>87</v>
      </c>
      <c r="AA353" s="167" t="s">
        <v>233</v>
      </c>
      <c r="AB353" s="79" t="s">
        <v>416</v>
      </c>
      <c r="AC353" s="130"/>
      <c r="AD353" s="130"/>
    </row>
    <row r="354">
      <c r="A354" s="78">
        <v>34.0</v>
      </c>
      <c r="B354" s="57" t="s">
        <v>228</v>
      </c>
      <c r="C354" s="78" t="s">
        <v>229</v>
      </c>
      <c r="D354" s="80"/>
      <c r="E354" s="137">
        <v>1077.0</v>
      </c>
      <c r="F354" s="9" t="str">
        <f t="shared" si="5"/>
        <v>AP</v>
      </c>
      <c r="G354" s="78" t="str">
        <f t="shared" si="2"/>
        <v>KAL1-A-1077-AP</v>
      </c>
      <c r="H354" s="78" t="s">
        <v>230</v>
      </c>
      <c r="I354" s="78" t="s">
        <v>294</v>
      </c>
      <c r="J354" s="78" t="s">
        <v>301</v>
      </c>
      <c r="K354" s="184">
        <v>133.0</v>
      </c>
      <c r="L354" s="137">
        <v>760000.0</v>
      </c>
      <c r="M354" s="78" t="s">
        <v>296</v>
      </c>
      <c r="N354" s="137">
        <v>3.0</v>
      </c>
      <c r="O354" s="185">
        <v>2.0</v>
      </c>
      <c r="P354" s="167" t="s">
        <v>412</v>
      </c>
      <c r="Q354" s="183"/>
      <c r="R354" s="78" t="s">
        <v>307</v>
      </c>
      <c r="S354" s="189">
        <v>7.0</v>
      </c>
      <c r="T354" s="80"/>
      <c r="U354" s="168"/>
      <c r="V354" s="187"/>
      <c r="W354" s="130"/>
      <c r="X354" s="188" t="s">
        <v>231</v>
      </c>
      <c r="Y354" s="78" t="s">
        <v>86</v>
      </c>
      <c r="Z354" s="78" t="s">
        <v>87</v>
      </c>
      <c r="AA354" s="167" t="s">
        <v>233</v>
      </c>
      <c r="AB354" s="79" t="s">
        <v>413</v>
      </c>
      <c r="AC354" s="130"/>
      <c r="AD354" s="130"/>
    </row>
    <row r="355">
      <c r="A355" s="78">
        <v>34.0</v>
      </c>
      <c r="B355" s="57" t="s">
        <v>228</v>
      </c>
      <c r="C355" s="78" t="s">
        <v>229</v>
      </c>
      <c r="D355" s="80"/>
      <c r="E355" s="137">
        <v>1078.0</v>
      </c>
      <c r="F355" s="9" t="str">
        <f t="shared" si="5"/>
        <v>AP</v>
      </c>
      <c r="G355" s="78" t="str">
        <f t="shared" si="2"/>
        <v>KAL1-A-1078-AP</v>
      </c>
      <c r="H355" s="78" t="s">
        <v>230</v>
      </c>
      <c r="I355" s="78" t="s">
        <v>294</v>
      </c>
      <c r="J355" s="78" t="s">
        <v>301</v>
      </c>
      <c r="K355" s="184">
        <v>135.0</v>
      </c>
      <c r="L355" s="137">
        <v>715000.0</v>
      </c>
      <c r="M355" s="78" t="s">
        <v>296</v>
      </c>
      <c r="N355" s="137">
        <v>3.0</v>
      </c>
      <c r="O355" s="185">
        <v>2.0</v>
      </c>
      <c r="P355" s="167" t="s">
        <v>412</v>
      </c>
      <c r="Q355" s="183"/>
      <c r="R355" s="78" t="s">
        <v>307</v>
      </c>
      <c r="S355" s="189">
        <v>7.0</v>
      </c>
      <c r="T355" s="80"/>
      <c r="U355" s="168"/>
      <c r="V355" s="187"/>
      <c r="W355" s="130"/>
      <c r="X355" s="188" t="s">
        <v>231</v>
      </c>
      <c r="Y355" s="78" t="s">
        <v>86</v>
      </c>
      <c r="Z355" s="78" t="s">
        <v>87</v>
      </c>
      <c r="AA355" s="167" t="s">
        <v>233</v>
      </c>
      <c r="AB355" s="79" t="s">
        <v>413</v>
      </c>
      <c r="AC355" s="130"/>
      <c r="AD355" s="130"/>
    </row>
    <row r="356">
      <c r="A356" s="78">
        <v>34.0</v>
      </c>
      <c r="B356" s="57" t="s">
        <v>228</v>
      </c>
      <c r="C356" s="78" t="s">
        <v>229</v>
      </c>
      <c r="D356" s="80"/>
      <c r="E356" s="137">
        <v>1081.0</v>
      </c>
      <c r="F356" s="9" t="str">
        <f t="shared" si="5"/>
        <v>AP</v>
      </c>
      <c r="G356" s="78" t="str">
        <f t="shared" si="2"/>
        <v>KAL1-D-1081-AP</v>
      </c>
      <c r="H356" s="78" t="s">
        <v>230</v>
      </c>
      <c r="I356" s="78" t="s">
        <v>319</v>
      </c>
      <c r="J356" s="78" t="s">
        <v>301</v>
      </c>
      <c r="K356" s="184">
        <v>88.0</v>
      </c>
      <c r="L356" s="137">
        <v>535000.0</v>
      </c>
      <c r="M356" s="78" t="s">
        <v>296</v>
      </c>
      <c r="N356" s="137">
        <v>2.0</v>
      </c>
      <c r="O356" s="185">
        <v>2.0</v>
      </c>
      <c r="P356" s="167" t="s">
        <v>412</v>
      </c>
      <c r="Q356" s="183"/>
      <c r="R356" s="78" t="s">
        <v>307</v>
      </c>
      <c r="S356" s="189">
        <v>8.0</v>
      </c>
      <c r="T356" s="80"/>
      <c r="U356" s="168"/>
      <c r="V356" s="187"/>
      <c r="W356" s="130"/>
      <c r="X356" s="188" t="s">
        <v>231</v>
      </c>
      <c r="Y356" s="78" t="s">
        <v>86</v>
      </c>
      <c r="Z356" s="78" t="s">
        <v>87</v>
      </c>
      <c r="AA356" s="167" t="s">
        <v>233</v>
      </c>
      <c r="AB356" s="79" t="s">
        <v>413</v>
      </c>
      <c r="AC356" s="130"/>
      <c r="AD356" s="130"/>
    </row>
    <row r="357">
      <c r="A357" s="78">
        <v>34.0</v>
      </c>
      <c r="B357" s="57" t="s">
        <v>228</v>
      </c>
      <c r="C357" s="78" t="s">
        <v>229</v>
      </c>
      <c r="D357" s="80"/>
      <c r="E357" s="137">
        <v>1082.0</v>
      </c>
      <c r="F357" s="9" t="str">
        <f t="shared" si="5"/>
        <v>AP</v>
      </c>
      <c r="G357" s="78" t="str">
        <f t="shared" si="2"/>
        <v>KAL1-F-1082-AP</v>
      </c>
      <c r="H357" s="78" t="s">
        <v>230</v>
      </c>
      <c r="I357" s="78" t="s">
        <v>414</v>
      </c>
      <c r="J357" s="78" t="s">
        <v>301</v>
      </c>
      <c r="K357" s="184">
        <v>68.0</v>
      </c>
      <c r="L357" s="137">
        <v>480000.0</v>
      </c>
      <c r="M357" s="78" t="s">
        <v>296</v>
      </c>
      <c r="N357" s="137">
        <v>1.0</v>
      </c>
      <c r="O357" s="185">
        <v>1.0</v>
      </c>
      <c r="P357" s="167" t="s">
        <v>415</v>
      </c>
      <c r="Q357" s="183"/>
      <c r="R357" s="78" t="s">
        <v>307</v>
      </c>
      <c r="S357" s="189">
        <v>8.0</v>
      </c>
      <c r="T357" s="80"/>
      <c r="U357" s="168"/>
      <c r="V357" s="187"/>
      <c r="W357" s="130"/>
      <c r="X357" s="188" t="s">
        <v>231</v>
      </c>
      <c r="Y357" s="78" t="s">
        <v>86</v>
      </c>
      <c r="Z357" s="78" t="s">
        <v>87</v>
      </c>
      <c r="AA357" s="167" t="s">
        <v>233</v>
      </c>
      <c r="AB357" s="79" t="s">
        <v>413</v>
      </c>
      <c r="AC357" s="130"/>
      <c r="AD357" s="130"/>
    </row>
    <row r="358">
      <c r="A358" s="78">
        <v>34.0</v>
      </c>
      <c r="B358" s="57" t="s">
        <v>228</v>
      </c>
      <c r="C358" s="78" t="s">
        <v>229</v>
      </c>
      <c r="D358" s="80"/>
      <c r="E358" s="137">
        <v>1083.0</v>
      </c>
      <c r="F358" s="9" t="str">
        <f t="shared" si="5"/>
        <v>AP</v>
      </c>
      <c r="G358" s="78" t="str">
        <f t="shared" si="2"/>
        <v>KAL1-C-1083-AP</v>
      </c>
      <c r="H358" s="78" t="s">
        <v>230</v>
      </c>
      <c r="I358" s="78" t="s">
        <v>317</v>
      </c>
      <c r="J358" s="78" t="s">
        <v>301</v>
      </c>
      <c r="K358" s="184">
        <v>109.0</v>
      </c>
      <c r="L358" s="137">
        <v>610000.0</v>
      </c>
      <c r="M358" s="78" t="s">
        <v>296</v>
      </c>
      <c r="N358" s="137">
        <v>2.0</v>
      </c>
      <c r="O358" s="185">
        <v>2.0</v>
      </c>
      <c r="P358" s="167" t="s">
        <v>412</v>
      </c>
      <c r="Q358" s="183"/>
      <c r="R358" s="78" t="s">
        <v>307</v>
      </c>
      <c r="S358" s="189">
        <v>8.0</v>
      </c>
      <c r="T358" s="80"/>
      <c r="U358" s="168"/>
      <c r="V358" s="187"/>
      <c r="W358" s="130"/>
      <c r="X358" s="188" t="s">
        <v>231</v>
      </c>
      <c r="Y358" s="78" t="s">
        <v>86</v>
      </c>
      <c r="Z358" s="78" t="s">
        <v>87</v>
      </c>
      <c r="AA358" s="167" t="s">
        <v>233</v>
      </c>
      <c r="AB358" s="79" t="s">
        <v>413</v>
      </c>
      <c r="AC358" s="130"/>
      <c r="AD358" s="130"/>
    </row>
    <row r="359">
      <c r="A359" s="78">
        <v>34.0</v>
      </c>
      <c r="B359" s="57" t="s">
        <v>228</v>
      </c>
      <c r="C359" s="78" t="s">
        <v>229</v>
      </c>
      <c r="D359" s="80"/>
      <c r="E359" s="137">
        <v>1084.0</v>
      </c>
      <c r="F359" s="9" t="str">
        <f t="shared" si="5"/>
        <v>AP</v>
      </c>
      <c r="G359" s="78" t="str">
        <f t="shared" si="2"/>
        <v>KAL1-B-1084-AP</v>
      </c>
      <c r="H359" s="78" t="s">
        <v>230</v>
      </c>
      <c r="I359" s="78" t="s">
        <v>303</v>
      </c>
      <c r="J359" s="78" t="s">
        <v>301</v>
      </c>
      <c r="K359" s="184">
        <v>134.0</v>
      </c>
      <c r="L359" s="137">
        <v>720000.0</v>
      </c>
      <c r="M359" s="78" t="s">
        <v>296</v>
      </c>
      <c r="N359" s="137">
        <v>3.0</v>
      </c>
      <c r="O359" s="185">
        <v>2.0</v>
      </c>
      <c r="P359" s="167" t="s">
        <v>412</v>
      </c>
      <c r="Q359" s="183"/>
      <c r="R359" s="78" t="s">
        <v>307</v>
      </c>
      <c r="S359" s="189">
        <v>8.0</v>
      </c>
      <c r="T359" s="80"/>
      <c r="U359" s="168"/>
      <c r="V359" s="187"/>
      <c r="W359" s="130"/>
      <c r="X359" s="188" t="s">
        <v>231</v>
      </c>
      <c r="Y359" s="78" t="s">
        <v>86</v>
      </c>
      <c r="Z359" s="78" t="s">
        <v>87</v>
      </c>
      <c r="AA359" s="167" t="s">
        <v>233</v>
      </c>
      <c r="AB359" s="79" t="s">
        <v>416</v>
      </c>
      <c r="AC359" s="130"/>
      <c r="AD359" s="130"/>
    </row>
    <row r="360">
      <c r="A360" s="78">
        <v>34.0</v>
      </c>
      <c r="B360" s="57" t="s">
        <v>228</v>
      </c>
      <c r="C360" s="78" t="s">
        <v>229</v>
      </c>
      <c r="D360" s="80"/>
      <c r="E360" s="137">
        <v>1085.0</v>
      </c>
      <c r="F360" s="9" t="str">
        <f t="shared" si="5"/>
        <v>AP</v>
      </c>
      <c r="G360" s="78" t="str">
        <f t="shared" si="2"/>
        <v>KAL1-E-1085-AP</v>
      </c>
      <c r="H360" s="78" t="s">
        <v>230</v>
      </c>
      <c r="I360" s="78" t="s">
        <v>417</v>
      </c>
      <c r="J360" s="78" t="s">
        <v>301</v>
      </c>
      <c r="K360" s="184">
        <v>102.0</v>
      </c>
      <c r="L360" s="137">
        <v>570000.0</v>
      </c>
      <c r="M360" s="78" t="s">
        <v>296</v>
      </c>
      <c r="N360" s="137">
        <v>2.0</v>
      </c>
      <c r="O360" s="185">
        <v>2.0</v>
      </c>
      <c r="P360" s="167" t="s">
        <v>412</v>
      </c>
      <c r="Q360" s="183"/>
      <c r="R360" s="78" t="s">
        <v>307</v>
      </c>
      <c r="S360" s="189">
        <v>8.0</v>
      </c>
      <c r="T360" s="80"/>
      <c r="U360" s="168"/>
      <c r="V360" s="187"/>
      <c r="W360" s="130"/>
      <c r="X360" s="188" t="s">
        <v>231</v>
      </c>
      <c r="Y360" s="78" t="s">
        <v>86</v>
      </c>
      <c r="Z360" s="78" t="s">
        <v>87</v>
      </c>
      <c r="AA360" s="167" t="s">
        <v>233</v>
      </c>
      <c r="AB360" s="79" t="s">
        <v>416</v>
      </c>
      <c r="AC360" s="130"/>
      <c r="AD360" s="130"/>
    </row>
    <row r="361">
      <c r="A361" s="78">
        <v>34.0</v>
      </c>
      <c r="B361" s="57" t="s">
        <v>228</v>
      </c>
      <c r="C361" s="78" t="s">
        <v>229</v>
      </c>
      <c r="D361" s="80"/>
      <c r="E361" s="137">
        <v>1086.0</v>
      </c>
      <c r="F361" s="9" t="str">
        <f t="shared" si="5"/>
        <v>AP</v>
      </c>
      <c r="G361" s="78" t="str">
        <f t="shared" si="2"/>
        <v>KAL1-E-1086-AP</v>
      </c>
      <c r="H361" s="78" t="s">
        <v>230</v>
      </c>
      <c r="I361" s="78" t="s">
        <v>417</v>
      </c>
      <c r="J361" s="78" t="s">
        <v>301</v>
      </c>
      <c r="K361" s="184">
        <v>102.0</v>
      </c>
      <c r="L361" s="137">
        <v>570000.0</v>
      </c>
      <c r="M361" s="78" t="s">
        <v>296</v>
      </c>
      <c r="N361" s="137">
        <v>2.0</v>
      </c>
      <c r="O361" s="185">
        <v>2.0</v>
      </c>
      <c r="P361" s="167" t="s">
        <v>412</v>
      </c>
      <c r="Q361" s="183"/>
      <c r="R361" s="78" t="s">
        <v>307</v>
      </c>
      <c r="S361" s="189">
        <v>8.0</v>
      </c>
      <c r="T361" s="80"/>
      <c r="U361" s="168"/>
      <c r="V361" s="187"/>
      <c r="W361" s="130"/>
      <c r="X361" s="188" t="s">
        <v>231</v>
      </c>
      <c r="Y361" s="78" t="s">
        <v>86</v>
      </c>
      <c r="Z361" s="78" t="s">
        <v>87</v>
      </c>
      <c r="AA361" s="167" t="s">
        <v>233</v>
      </c>
      <c r="AB361" s="79" t="s">
        <v>416</v>
      </c>
      <c r="AC361" s="130"/>
      <c r="AD361" s="130"/>
    </row>
    <row r="362">
      <c r="A362" s="78">
        <v>34.0</v>
      </c>
      <c r="B362" s="57" t="s">
        <v>228</v>
      </c>
      <c r="C362" s="78" t="s">
        <v>229</v>
      </c>
      <c r="D362" s="80"/>
      <c r="E362" s="137">
        <v>1087.0</v>
      </c>
      <c r="F362" s="9" t="str">
        <f t="shared" si="5"/>
        <v>AP</v>
      </c>
      <c r="G362" s="78" t="str">
        <f t="shared" si="2"/>
        <v>KAL1-A-1087-AP</v>
      </c>
      <c r="H362" s="78" t="s">
        <v>230</v>
      </c>
      <c r="I362" s="78" t="s">
        <v>294</v>
      </c>
      <c r="J362" s="78" t="s">
        <v>301</v>
      </c>
      <c r="K362" s="184">
        <v>133.0</v>
      </c>
      <c r="L362" s="137">
        <v>760000.0</v>
      </c>
      <c r="M362" s="78" t="s">
        <v>296</v>
      </c>
      <c r="N362" s="137">
        <v>3.0</v>
      </c>
      <c r="O362" s="185">
        <v>2.0</v>
      </c>
      <c r="P362" s="167" t="s">
        <v>412</v>
      </c>
      <c r="Q362" s="183"/>
      <c r="R362" s="78" t="s">
        <v>307</v>
      </c>
      <c r="S362" s="189">
        <v>8.0</v>
      </c>
      <c r="T362" s="80"/>
      <c r="U362" s="168"/>
      <c r="V362" s="187"/>
      <c r="W362" s="130"/>
      <c r="X362" s="188" t="s">
        <v>231</v>
      </c>
      <c r="Y362" s="78" t="s">
        <v>86</v>
      </c>
      <c r="Z362" s="78" t="s">
        <v>87</v>
      </c>
      <c r="AA362" s="167" t="s">
        <v>233</v>
      </c>
      <c r="AB362" s="79" t="s">
        <v>413</v>
      </c>
      <c r="AC362" s="130"/>
      <c r="AD362" s="130"/>
    </row>
    <row r="363">
      <c r="A363" s="78">
        <v>34.0</v>
      </c>
      <c r="B363" s="57" t="s">
        <v>228</v>
      </c>
      <c r="C363" s="78" t="s">
        <v>229</v>
      </c>
      <c r="D363" s="80"/>
      <c r="E363" s="137">
        <v>1088.0</v>
      </c>
      <c r="F363" s="9" t="str">
        <f t="shared" si="5"/>
        <v>AP</v>
      </c>
      <c r="G363" s="78" t="str">
        <f t="shared" si="2"/>
        <v>KAL1-A-1088-AP</v>
      </c>
      <c r="H363" s="78" t="s">
        <v>230</v>
      </c>
      <c r="I363" s="78" t="s">
        <v>294</v>
      </c>
      <c r="J363" s="78" t="s">
        <v>301</v>
      </c>
      <c r="K363" s="184">
        <v>135.0</v>
      </c>
      <c r="L363" s="137">
        <v>740000.0</v>
      </c>
      <c r="M363" s="78" t="s">
        <v>296</v>
      </c>
      <c r="N363" s="137">
        <v>3.0</v>
      </c>
      <c r="O363" s="185">
        <v>2.0</v>
      </c>
      <c r="P363" s="167" t="s">
        <v>412</v>
      </c>
      <c r="Q363" s="183"/>
      <c r="R363" s="78" t="s">
        <v>307</v>
      </c>
      <c r="S363" s="189">
        <v>8.0</v>
      </c>
      <c r="T363" s="80"/>
      <c r="U363" s="168"/>
      <c r="V363" s="187"/>
      <c r="W363" s="130"/>
      <c r="X363" s="188" t="s">
        <v>231</v>
      </c>
      <c r="Y363" s="78" t="s">
        <v>86</v>
      </c>
      <c r="Z363" s="78" t="s">
        <v>87</v>
      </c>
      <c r="AA363" s="167" t="s">
        <v>233</v>
      </c>
      <c r="AB363" s="79" t="s">
        <v>413</v>
      </c>
      <c r="AC363" s="130"/>
      <c r="AD363" s="130"/>
    </row>
    <row r="364">
      <c r="A364" s="78">
        <v>34.0</v>
      </c>
      <c r="B364" s="57" t="s">
        <v>228</v>
      </c>
      <c r="C364" s="78" t="s">
        <v>229</v>
      </c>
      <c r="D364" s="80"/>
      <c r="E364" s="137">
        <v>1091.0</v>
      </c>
      <c r="F364" s="9" t="str">
        <f t="shared" si="5"/>
        <v>AP</v>
      </c>
      <c r="G364" s="78" t="str">
        <f t="shared" si="2"/>
        <v>KAL1-D-1091-AP</v>
      </c>
      <c r="H364" s="78" t="s">
        <v>230</v>
      </c>
      <c r="I364" s="78" t="s">
        <v>319</v>
      </c>
      <c r="J364" s="78" t="s">
        <v>301</v>
      </c>
      <c r="K364" s="184">
        <v>88.0</v>
      </c>
      <c r="L364" s="137">
        <v>535000.0</v>
      </c>
      <c r="M364" s="78" t="s">
        <v>296</v>
      </c>
      <c r="N364" s="137">
        <v>2.0</v>
      </c>
      <c r="O364" s="185">
        <v>2.0</v>
      </c>
      <c r="P364" s="167" t="s">
        <v>412</v>
      </c>
      <c r="Q364" s="183"/>
      <c r="R364" s="78" t="s">
        <v>307</v>
      </c>
      <c r="S364" s="189">
        <v>9.0</v>
      </c>
      <c r="T364" s="80"/>
      <c r="U364" s="168"/>
      <c r="V364" s="187"/>
      <c r="W364" s="130"/>
      <c r="X364" s="188" t="s">
        <v>231</v>
      </c>
      <c r="Y364" s="78" t="s">
        <v>86</v>
      </c>
      <c r="Z364" s="78" t="s">
        <v>87</v>
      </c>
      <c r="AA364" s="167" t="s">
        <v>233</v>
      </c>
      <c r="AB364" s="79" t="s">
        <v>413</v>
      </c>
      <c r="AC364" s="130"/>
      <c r="AD364" s="130"/>
    </row>
    <row r="365">
      <c r="A365" s="78">
        <v>34.0</v>
      </c>
      <c r="B365" s="57" t="s">
        <v>228</v>
      </c>
      <c r="C365" s="78" t="s">
        <v>229</v>
      </c>
      <c r="D365" s="80"/>
      <c r="E365" s="137">
        <v>1092.0</v>
      </c>
      <c r="F365" s="9" t="str">
        <f t="shared" si="5"/>
        <v>AP</v>
      </c>
      <c r="G365" s="78" t="str">
        <f t="shared" si="2"/>
        <v>KAL1-F-1092-AP</v>
      </c>
      <c r="H365" s="78" t="s">
        <v>230</v>
      </c>
      <c r="I365" s="78" t="s">
        <v>414</v>
      </c>
      <c r="J365" s="78" t="s">
        <v>301</v>
      </c>
      <c r="K365" s="184">
        <v>68.0</v>
      </c>
      <c r="L365" s="137">
        <v>480000.0</v>
      </c>
      <c r="M365" s="78" t="s">
        <v>296</v>
      </c>
      <c r="N365" s="137">
        <v>1.0</v>
      </c>
      <c r="O365" s="185">
        <v>1.0</v>
      </c>
      <c r="P365" s="167" t="s">
        <v>415</v>
      </c>
      <c r="Q365" s="183"/>
      <c r="R365" s="78" t="s">
        <v>307</v>
      </c>
      <c r="S365" s="189">
        <v>9.0</v>
      </c>
      <c r="T365" s="80"/>
      <c r="U365" s="168"/>
      <c r="V365" s="187"/>
      <c r="W365" s="130"/>
      <c r="X365" s="188" t="s">
        <v>231</v>
      </c>
      <c r="Y365" s="78" t="s">
        <v>86</v>
      </c>
      <c r="Z365" s="78" t="s">
        <v>87</v>
      </c>
      <c r="AA365" s="167" t="s">
        <v>233</v>
      </c>
      <c r="AB365" s="79" t="s">
        <v>413</v>
      </c>
      <c r="AC365" s="130"/>
      <c r="AD365" s="130"/>
    </row>
    <row r="366">
      <c r="A366" s="78">
        <v>34.0</v>
      </c>
      <c r="B366" s="57" t="s">
        <v>228</v>
      </c>
      <c r="C366" s="78" t="s">
        <v>229</v>
      </c>
      <c r="D366" s="80"/>
      <c r="E366" s="137">
        <v>1093.0</v>
      </c>
      <c r="F366" s="9" t="str">
        <f t="shared" si="5"/>
        <v>AP</v>
      </c>
      <c r="G366" s="78" t="str">
        <f t="shared" si="2"/>
        <v>KAL1-C-1093-AP</v>
      </c>
      <c r="H366" s="78" t="s">
        <v>230</v>
      </c>
      <c r="I366" s="78" t="s">
        <v>317</v>
      </c>
      <c r="J366" s="78" t="s">
        <v>301</v>
      </c>
      <c r="K366" s="184">
        <v>109.0</v>
      </c>
      <c r="L366" s="137">
        <v>615000.0</v>
      </c>
      <c r="M366" s="78" t="s">
        <v>296</v>
      </c>
      <c r="N366" s="137">
        <v>2.0</v>
      </c>
      <c r="O366" s="185">
        <v>2.0</v>
      </c>
      <c r="P366" s="167" t="s">
        <v>412</v>
      </c>
      <c r="Q366" s="183"/>
      <c r="R366" s="78" t="s">
        <v>307</v>
      </c>
      <c r="S366" s="189">
        <v>9.0</v>
      </c>
      <c r="T366" s="80"/>
      <c r="U366" s="168"/>
      <c r="V366" s="187"/>
      <c r="W366" s="130"/>
      <c r="X366" s="188" t="s">
        <v>231</v>
      </c>
      <c r="Y366" s="78" t="s">
        <v>86</v>
      </c>
      <c r="Z366" s="78" t="s">
        <v>87</v>
      </c>
      <c r="AA366" s="167" t="s">
        <v>233</v>
      </c>
      <c r="AB366" s="79" t="s">
        <v>413</v>
      </c>
      <c r="AC366" s="130"/>
      <c r="AD366" s="130"/>
    </row>
    <row r="367">
      <c r="A367" s="78">
        <v>34.0</v>
      </c>
      <c r="B367" s="57" t="s">
        <v>228</v>
      </c>
      <c r="C367" s="78" t="s">
        <v>229</v>
      </c>
      <c r="D367" s="80"/>
      <c r="E367" s="137">
        <v>1094.0</v>
      </c>
      <c r="F367" s="9" t="str">
        <f t="shared" si="5"/>
        <v>AP</v>
      </c>
      <c r="G367" s="78" t="str">
        <f t="shared" si="2"/>
        <v>KAL1-B-1094-AP</v>
      </c>
      <c r="H367" s="78" t="s">
        <v>230</v>
      </c>
      <c r="I367" s="78" t="s">
        <v>303</v>
      </c>
      <c r="J367" s="78" t="s">
        <v>301</v>
      </c>
      <c r="K367" s="184">
        <v>134.0</v>
      </c>
      <c r="L367" s="137">
        <v>690000.0</v>
      </c>
      <c r="M367" s="78" t="s">
        <v>296</v>
      </c>
      <c r="N367" s="137">
        <v>3.0</v>
      </c>
      <c r="O367" s="185">
        <v>2.0</v>
      </c>
      <c r="P367" s="167" t="s">
        <v>412</v>
      </c>
      <c r="Q367" s="183"/>
      <c r="R367" s="78" t="s">
        <v>307</v>
      </c>
      <c r="S367" s="189">
        <v>9.0</v>
      </c>
      <c r="T367" s="80"/>
      <c r="U367" s="168"/>
      <c r="V367" s="187"/>
      <c r="W367" s="130"/>
      <c r="X367" s="188" t="s">
        <v>231</v>
      </c>
      <c r="Y367" s="78" t="s">
        <v>86</v>
      </c>
      <c r="Z367" s="78" t="s">
        <v>87</v>
      </c>
      <c r="AA367" s="167" t="s">
        <v>233</v>
      </c>
      <c r="AB367" s="79" t="s">
        <v>416</v>
      </c>
      <c r="AC367" s="130"/>
      <c r="AD367" s="130"/>
    </row>
    <row r="368">
      <c r="A368" s="78">
        <v>34.0</v>
      </c>
      <c r="B368" s="57" t="s">
        <v>228</v>
      </c>
      <c r="C368" s="78" t="s">
        <v>229</v>
      </c>
      <c r="D368" s="80"/>
      <c r="E368" s="137">
        <v>1095.0</v>
      </c>
      <c r="F368" s="9" t="str">
        <f t="shared" si="5"/>
        <v>AP</v>
      </c>
      <c r="G368" s="78" t="str">
        <f t="shared" si="2"/>
        <v>KAL1-E-1095-AP</v>
      </c>
      <c r="H368" s="78" t="s">
        <v>230</v>
      </c>
      <c r="I368" s="78" t="s">
        <v>417</v>
      </c>
      <c r="J368" s="78" t="s">
        <v>301</v>
      </c>
      <c r="K368" s="184">
        <v>102.0</v>
      </c>
      <c r="L368" s="137">
        <v>570000.0</v>
      </c>
      <c r="M368" s="78" t="s">
        <v>296</v>
      </c>
      <c r="N368" s="137">
        <v>2.0</v>
      </c>
      <c r="O368" s="185">
        <v>2.0</v>
      </c>
      <c r="P368" s="167" t="s">
        <v>412</v>
      </c>
      <c r="Q368" s="183"/>
      <c r="R368" s="78" t="s">
        <v>307</v>
      </c>
      <c r="S368" s="189">
        <v>9.0</v>
      </c>
      <c r="T368" s="80"/>
      <c r="U368" s="168"/>
      <c r="V368" s="187"/>
      <c r="W368" s="130"/>
      <c r="X368" s="188" t="s">
        <v>231</v>
      </c>
      <c r="Y368" s="78" t="s">
        <v>86</v>
      </c>
      <c r="Z368" s="78" t="s">
        <v>87</v>
      </c>
      <c r="AA368" s="167" t="s">
        <v>233</v>
      </c>
      <c r="AB368" s="79" t="s">
        <v>416</v>
      </c>
      <c r="AC368" s="130"/>
      <c r="AD368" s="130"/>
    </row>
    <row r="369">
      <c r="A369" s="78">
        <v>34.0</v>
      </c>
      <c r="B369" s="57" t="s">
        <v>228</v>
      </c>
      <c r="C369" s="78" t="s">
        <v>229</v>
      </c>
      <c r="D369" s="80"/>
      <c r="E369" s="137">
        <v>1096.0</v>
      </c>
      <c r="F369" s="9" t="str">
        <f t="shared" si="5"/>
        <v>AP</v>
      </c>
      <c r="G369" s="78" t="str">
        <f t="shared" si="2"/>
        <v>KAL1-E-1096-AP</v>
      </c>
      <c r="H369" s="78" t="s">
        <v>230</v>
      </c>
      <c r="I369" s="78" t="s">
        <v>417</v>
      </c>
      <c r="J369" s="78" t="s">
        <v>301</v>
      </c>
      <c r="K369" s="184">
        <v>102.0</v>
      </c>
      <c r="L369" s="137">
        <v>560000.0</v>
      </c>
      <c r="M369" s="78" t="s">
        <v>296</v>
      </c>
      <c r="N369" s="137">
        <v>2.0</v>
      </c>
      <c r="O369" s="185">
        <v>2.0</v>
      </c>
      <c r="P369" s="167" t="s">
        <v>412</v>
      </c>
      <c r="Q369" s="183"/>
      <c r="R369" s="78" t="s">
        <v>307</v>
      </c>
      <c r="S369" s="189">
        <v>9.0</v>
      </c>
      <c r="T369" s="80"/>
      <c r="U369" s="168"/>
      <c r="V369" s="187"/>
      <c r="W369" s="130"/>
      <c r="X369" s="188" t="s">
        <v>231</v>
      </c>
      <c r="Y369" s="78" t="s">
        <v>86</v>
      </c>
      <c r="Z369" s="78" t="s">
        <v>87</v>
      </c>
      <c r="AA369" s="167" t="s">
        <v>233</v>
      </c>
      <c r="AB369" s="79" t="s">
        <v>416</v>
      </c>
      <c r="AC369" s="130"/>
      <c r="AD369" s="130"/>
    </row>
    <row r="370">
      <c r="A370" s="78">
        <v>34.0</v>
      </c>
      <c r="B370" s="57" t="s">
        <v>228</v>
      </c>
      <c r="C370" s="78" t="s">
        <v>229</v>
      </c>
      <c r="D370" s="80"/>
      <c r="E370" s="137">
        <v>1097.0</v>
      </c>
      <c r="F370" s="9" t="str">
        <f t="shared" si="5"/>
        <v>AP</v>
      </c>
      <c r="G370" s="78" t="str">
        <f t="shared" si="2"/>
        <v>KAL1-A-1097-AP</v>
      </c>
      <c r="H370" s="78" t="s">
        <v>230</v>
      </c>
      <c r="I370" s="78" t="s">
        <v>294</v>
      </c>
      <c r="J370" s="78" t="s">
        <v>301</v>
      </c>
      <c r="K370" s="184">
        <v>133.0</v>
      </c>
      <c r="L370" s="137">
        <v>760000.0</v>
      </c>
      <c r="M370" s="78" t="s">
        <v>296</v>
      </c>
      <c r="N370" s="137">
        <v>3.0</v>
      </c>
      <c r="O370" s="185">
        <v>2.0</v>
      </c>
      <c r="P370" s="167" t="s">
        <v>412</v>
      </c>
      <c r="Q370" s="183"/>
      <c r="R370" s="78" t="s">
        <v>307</v>
      </c>
      <c r="S370" s="189">
        <v>9.0</v>
      </c>
      <c r="T370" s="80"/>
      <c r="U370" s="168"/>
      <c r="V370" s="187"/>
      <c r="W370" s="130"/>
      <c r="X370" s="188" t="s">
        <v>231</v>
      </c>
      <c r="Y370" s="78" t="s">
        <v>86</v>
      </c>
      <c r="Z370" s="78" t="s">
        <v>87</v>
      </c>
      <c r="AA370" s="167" t="s">
        <v>233</v>
      </c>
      <c r="AB370" s="79" t="s">
        <v>413</v>
      </c>
      <c r="AC370" s="130"/>
      <c r="AD370" s="130"/>
    </row>
    <row r="371">
      <c r="A371" s="78">
        <v>34.0</v>
      </c>
      <c r="B371" s="57" t="s">
        <v>228</v>
      </c>
      <c r="C371" s="78" t="s">
        <v>229</v>
      </c>
      <c r="D371" s="80"/>
      <c r="E371" s="137">
        <v>1098.0</v>
      </c>
      <c r="F371" s="9" t="str">
        <f t="shared" si="5"/>
        <v>AP</v>
      </c>
      <c r="G371" s="78" t="str">
        <f t="shared" si="2"/>
        <v>KAL1-A-1098-AP</v>
      </c>
      <c r="H371" s="78" t="s">
        <v>230</v>
      </c>
      <c r="I371" s="78" t="s">
        <v>294</v>
      </c>
      <c r="J371" s="78" t="s">
        <v>301</v>
      </c>
      <c r="K371" s="184">
        <v>46.0</v>
      </c>
      <c r="L371" s="137">
        <v>370000.0</v>
      </c>
      <c r="M371" s="78" t="s">
        <v>296</v>
      </c>
      <c r="N371" s="137">
        <v>1.0</v>
      </c>
      <c r="O371" s="190"/>
      <c r="P371" s="191"/>
      <c r="Q371" s="183"/>
      <c r="R371" s="78" t="s">
        <v>307</v>
      </c>
      <c r="S371" s="189">
        <v>9.0</v>
      </c>
      <c r="T371" s="80"/>
      <c r="U371" s="168"/>
      <c r="V371" s="187"/>
      <c r="W371" s="130"/>
      <c r="X371" s="188" t="s">
        <v>231</v>
      </c>
      <c r="Y371" s="78" t="s">
        <v>86</v>
      </c>
      <c r="Z371" s="78" t="s">
        <v>87</v>
      </c>
      <c r="AA371" s="167" t="s">
        <v>233</v>
      </c>
      <c r="AB371" s="79" t="s">
        <v>413</v>
      </c>
      <c r="AC371" s="130"/>
      <c r="AD371" s="130"/>
    </row>
    <row r="372">
      <c r="A372" s="78">
        <v>34.0</v>
      </c>
      <c r="B372" s="57" t="s">
        <v>228</v>
      </c>
      <c r="C372" s="78" t="s">
        <v>229</v>
      </c>
      <c r="D372" s="80"/>
      <c r="E372" s="137">
        <v>1099.0</v>
      </c>
      <c r="F372" s="9" t="str">
        <f t="shared" si="5"/>
        <v>AP</v>
      </c>
      <c r="G372" s="78" t="str">
        <f t="shared" si="2"/>
        <v>KAL1-A-1099-AP</v>
      </c>
      <c r="H372" s="78" t="s">
        <v>230</v>
      </c>
      <c r="I372" s="78" t="s">
        <v>294</v>
      </c>
      <c r="J372" s="78" t="s">
        <v>301</v>
      </c>
      <c r="K372" s="184">
        <v>68.0</v>
      </c>
      <c r="L372" s="137">
        <v>470000.0</v>
      </c>
      <c r="M372" s="78" t="s">
        <v>296</v>
      </c>
      <c r="N372" s="137">
        <v>1.0</v>
      </c>
      <c r="O372" s="185">
        <v>1.0</v>
      </c>
      <c r="P372" s="167" t="s">
        <v>415</v>
      </c>
      <c r="Q372" s="183"/>
      <c r="R372" s="78" t="s">
        <v>307</v>
      </c>
      <c r="S372" s="189">
        <v>9.0</v>
      </c>
      <c r="T372" s="80"/>
      <c r="U372" s="168"/>
      <c r="V372" s="187"/>
      <c r="W372" s="130"/>
      <c r="X372" s="188" t="s">
        <v>231</v>
      </c>
      <c r="Y372" s="78" t="s">
        <v>86</v>
      </c>
      <c r="Z372" s="78" t="s">
        <v>87</v>
      </c>
      <c r="AA372" s="167" t="s">
        <v>233</v>
      </c>
      <c r="AB372" s="79" t="s">
        <v>413</v>
      </c>
      <c r="AC372" s="130"/>
      <c r="AD372" s="130"/>
    </row>
    <row r="373">
      <c r="A373" s="78">
        <v>34.0</v>
      </c>
      <c r="B373" s="57" t="s">
        <v>228</v>
      </c>
      <c r="C373" s="78" t="s">
        <v>229</v>
      </c>
      <c r="D373" s="80"/>
      <c r="E373" s="137" t="s">
        <v>418</v>
      </c>
      <c r="F373" s="9" t="str">
        <f t="shared" si="5"/>
        <v>AP</v>
      </c>
      <c r="G373" s="78" t="str">
        <f t="shared" si="2"/>
        <v>KAL1-A-1099 - A-AP</v>
      </c>
      <c r="H373" s="78" t="s">
        <v>230</v>
      </c>
      <c r="I373" s="78" t="s">
        <v>294</v>
      </c>
      <c r="J373" s="78" t="s">
        <v>301</v>
      </c>
      <c r="K373" s="184">
        <v>46.0</v>
      </c>
      <c r="L373" s="137">
        <v>370000.0</v>
      </c>
      <c r="M373" s="78" t="s">
        <v>296</v>
      </c>
      <c r="N373" s="137">
        <v>1.0</v>
      </c>
      <c r="O373" s="190"/>
      <c r="P373" s="191"/>
      <c r="Q373" s="183"/>
      <c r="R373" s="78" t="s">
        <v>307</v>
      </c>
      <c r="S373" s="189">
        <v>9.0</v>
      </c>
      <c r="T373" s="80"/>
      <c r="U373" s="168"/>
      <c r="V373" s="187"/>
      <c r="W373" s="130"/>
      <c r="X373" s="188" t="s">
        <v>231</v>
      </c>
      <c r="Y373" s="78" t="s">
        <v>86</v>
      </c>
      <c r="Z373" s="78" t="s">
        <v>87</v>
      </c>
      <c r="AA373" s="167" t="s">
        <v>233</v>
      </c>
      <c r="AB373" s="79" t="s">
        <v>413</v>
      </c>
      <c r="AC373" s="130"/>
      <c r="AD373" s="130"/>
    </row>
    <row r="374">
      <c r="A374" s="78">
        <v>34.0</v>
      </c>
      <c r="B374" s="57" t="s">
        <v>228</v>
      </c>
      <c r="C374" s="78" t="s">
        <v>229</v>
      </c>
      <c r="D374" s="80"/>
      <c r="E374" s="137">
        <v>1101.0</v>
      </c>
      <c r="F374" s="9" t="str">
        <f t="shared" si="5"/>
        <v>AP</v>
      </c>
      <c r="G374" s="78" t="str">
        <f t="shared" si="2"/>
        <v>KAL1-A-1101-AP</v>
      </c>
      <c r="H374" s="78" t="s">
        <v>230</v>
      </c>
      <c r="I374" s="78" t="s">
        <v>294</v>
      </c>
      <c r="J374" s="78" t="s">
        <v>301</v>
      </c>
      <c r="K374" s="184">
        <v>88.0</v>
      </c>
      <c r="L374" s="137">
        <v>540000.0</v>
      </c>
      <c r="M374" s="78" t="s">
        <v>296</v>
      </c>
      <c r="N374" s="137">
        <v>2.0</v>
      </c>
      <c r="O374" s="185">
        <v>2.0</v>
      </c>
      <c r="P374" s="167" t="s">
        <v>412</v>
      </c>
      <c r="Q374" s="183"/>
      <c r="R374" s="78" t="s">
        <v>307</v>
      </c>
      <c r="S374" s="189">
        <v>10.0</v>
      </c>
      <c r="T374" s="80"/>
      <c r="U374" s="168"/>
      <c r="V374" s="187"/>
      <c r="W374" s="130"/>
      <c r="X374" s="188" t="s">
        <v>231</v>
      </c>
      <c r="Y374" s="78" t="s">
        <v>86</v>
      </c>
      <c r="Z374" s="78" t="s">
        <v>87</v>
      </c>
      <c r="AA374" s="167" t="s">
        <v>233</v>
      </c>
      <c r="AB374" s="79" t="s">
        <v>413</v>
      </c>
      <c r="AC374" s="130"/>
      <c r="AD374" s="130"/>
    </row>
    <row r="375">
      <c r="A375" s="78">
        <v>34.0</v>
      </c>
      <c r="B375" s="57" t="s">
        <v>228</v>
      </c>
      <c r="C375" s="78" t="s">
        <v>229</v>
      </c>
      <c r="D375" s="80"/>
      <c r="E375" s="137">
        <v>1102.0</v>
      </c>
      <c r="F375" s="9" t="str">
        <f t="shared" si="5"/>
        <v>AP</v>
      </c>
      <c r="G375" s="78" t="str">
        <f t="shared" si="2"/>
        <v>KAL1-A-1102-AP</v>
      </c>
      <c r="H375" s="78" t="s">
        <v>230</v>
      </c>
      <c r="I375" s="78" t="s">
        <v>294</v>
      </c>
      <c r="J375" s="78" t="s">
        <v>301</v>
      </c>
      <c r="K375" s="184">
        <v>68.0</v>
      </c>
      <c r="L375" s="137">
        <v>480000.0</v>
      </c>
      <c r="M375" s="78" t="s">
        <v>296</v>
      </c>
      <c r="N375" s="137">
        <v>1.0</v>
      </c>
      <c r="O375" s="185">
        <v>1.0</v>
      </c>
      <c r="P375" s="167" t="s">
        <v>415</v>
      </c>
      <c r="Q375" s="183"/>
      <c r="R375" s="78" t="s">
        <v>307</v>
      </c>
      <c r="S375" s="189">
        <v>10.0</v>
      </c>
      <c r="T375" s="80"/>
      <c r="U375" s="168"/>
      <c r="V375" s="187"/>
      <c r="W375" s="130"/>
      <c r="X375" s="188" t="s">
        <v>231</v>
      </c>
      <c r="Y375" s="78" t="s">
        <v>86</v>
      </c>
      <c r="Z375" s="78" t="s">
        <v>87</v>
      </c>
      <c r="AA375" s="167" t="s">
        <v>233</v>
      </c>
      <c r="AB375" s="79" t="s">
        <v>413</v>
      </c>
      <c r="AC375" s="130"/>
      <c r="AD375" s="130"/>
    </row>
    <row r="376">
      <c r="A376" s="78">
        <v>34.0</v>
      </c>
      <c r="B376" s="57" t="s">
        <v>228</v>
      </c>
      <c r="C376" s="78" t="s">
        <v>229</v>
      </c>
      <c r="D376" s="80"/>
      <c r="E376" s="137">
        <v>1103.0</v>
      </c>
      <c r="F376" s="9" t="str">
        <f t="shared" si="5"/>
        <v>AP</v>
      </c>
      <c r="G376" s="78" t="str">
        <f t="shared" si="2"/>
        <v>KAL1-A-1103-AP</v>
      </c>
      <c r="H376" s="78" t="s">
        <v>230</v>
      </c>
      <c r="I376" s="78" t="s">
        <v>294</v>
      </c>
      <c r="J376" s="78" t="s">
        <v>301</v>
      </c>
      <c r="K376" s="184">
        <v>109.0</v>
      </c>
      <c r="L376" s="137">
        <v>610000.0</v>
      </c>
      <c r="M376" s="78" t="s">
        <v>296</v>
      </c>
      <c r="N376" s="137">
        <v>2.0</v>
      </c>
      <c r="O376" s="185">
        <v>2.0</v>
      </c>
      <c r="P376" s="167" t="s">
        <v>412</v>
      </c>
      <c r="Q376" s="183"/>
      <c r="R376" s="78" t="s">
        <v>307</v>
      </c>
      <c r="S376" s="189">
        <v>10.0</v>
      </c>
      <c r="T376" s="80"/>
      <c r="U376" s="168"/>
      <c r="V376" s="187"/>
      <c r="W376" s="130"/>
      <c r="X376" s="188" t="s">
        <v>231</v>
      </c>
      <c r="Y376" s="78" t="s">
        <v>86</v>
      </c>
      <c r="Z376" s="78" t="s">
        <v>87</v>
      </c>
      <c r="AA376" s="167" t="s">
        <v>233</v>
      </c>
      <c r="AB376" s="79" t="s">
        <v>413</v>
      </c>
      <c r="AC376" s="130"/>
      <c r="AD376" s="130"/>
    </row>
    <row r="377">
      <c r="A377" s="78">
        <v>34.0</v>
      </c>
      <c r="B377" s="57" t="s">
        <v>228</v>
      </c>
      <c r="C377" s="78" t="s">
        <v>229</v>
      </c>
      <c r="D377" s="80"/>
      <c r="E377" s="137">
        <v>1104.0</v>
      </c>
      <c r="F377" s="9" t="str">
        <f t="shared" si="5"/>
        <v>AP</v>
      </c>
      <c r="G377" s="78" t="str">
        <f t="shared" si="2"/>
        <v>KAL1-A-1104-AP</v>
      </c>
      <c r="H377" s="78" t="s">
        <v>230</v>
      </c>
      <c r="I377" s="78" t="s">
        <v>294</v>
      </c>
      <c r="J377" s="78" t="s">
        <v>301</v>
      </c>
      <c r="K377" s="184">
        <v>134.0</v>
      </c>
      <c r="L377" s="137">
        <v>725000.0</v>
      </c>
      <c r="M377" s="78" t="s">
        <v>296</v>
      </c>
      <c r="N377" s="137">
        <v>3.0</v>
      </c>
      <c r="O377" s="185">
        <v>2.0</v>
      </c>
      <c r="P377" s="167" t="s">
        <v>412</v>
      </c>
      <c r="Q377" s="183"/>
      <c r="R377" s="78" t="s">
        <v>307</v>
      </c>
      <c r="S377" s="189">
        <v>10.0</v>
      </c>
      <c r="T377" s="80"/>
      <c r="U377" s="168"/>
      <c r="V377" s="187"/>
      <c r="W377" s="130"/>
      <c r="X377" s="188" t="s">
        <v>231</v>
      </c>
      <c r="Y377" s="78" t="s">
        <v>86</v>
      </c>
      <c r="Z377" s="78" t="s">
        <v>87</v>
      </c>
      <c r="AA377" s="167" t="s">
        <v>233</v>
      </c>
      <c r="AB377" s="79" t="s">
        <v>416</v>
      </c>
      <c r="AC377" s="130"/>
      <c r="AD377" s="130"/>
    </row>
    <row r="378">
      <c r="A378" s="78">
        <v>34.0</v>
      </c>
      <c r="B378" s="57" t="s">
        <v>228</v>
      </c>
      <c r="C378" s="78" t="s">
        <v>229</v>
      </c>
      <c r="D378" s="80"/>
      <c r="E378" s="137">
        <v>1105.0</v>
      </c>
      <c r="F378" s="9" t="str">
        <f t="shared" si="5"/>
        <v>AP</v>
      </c>
      <c r="G378" s="78" t="str">
        <f t="shared" si="2"/>
        <v>KAL1-A-1105-AP</v>
      </c>
      <c r="H378" s="78" t="s">
        <v>230</v>
      </c>
      <c r="I378" s="78" t="s">
        <v>294</v>
      </c>
      <c r="J378" s="78" t="s">
        <v>301</v>
      </c>
      <c r="K378" s="184">
        <v>102.0</v>
      </c>
      <c r="L378" s="137">
        <v>570000.0</v>
      </c>
      <c r="M378" s="78" t="s">
        <v>296</v>
      </c>
      <c r="N378" s="137">
        <v>2.0</v>
      </c>
      <c r="O378" s="185">
        <v>2.0</v>
      </c>
      <c r="P378" s="167" t="s">
        <v>412</v>
      </c>
      <c r="Q378" s="183"/>
      <c r="R378" s="78" t="s">
        <v>307</v>
      </c>
      <c r="S378" s="189">
        <v>10.0</v>
      </c>
      <c r="T378" s="80"/>
      <c r="U378" s="168"/>
      <c r="V378" s="187"/>
      <c r="W378" s="130"/>
      <c r="X378" s="188" t="s">
        <v>231</v>
      </c>
      <c r="Y378" s="78" t="s">
        <v>86</v>
      </c>
      <c r="Z378" s="78" t="s">
        <v>87</v>
      </c>
      <c r="AA378" s="167" t="s">
        <v>233</v>
      </c>
      <c r="AB378" s="79" t="s">
        <v>416</v>
      </c>
      <c r="AC378" s="130"/>
      <c r="AD378" s="130"/>
    </row>
    <row r="379">
      <c r="A379" s="78">
        <v>34.0</v>
      </c>
      <c r="B379" s="57" t="s">
        <v>228</v>
      </c>
      <c r="C379" s="78" t="s">
        <v>229</v>
      </c>
      <c r="D379" s="80"/>
      <c r="E379" s="137">
        <v>1106.0</v>
      </c>
      <c r="F379" s="9" t="str">
        <f t="shared" si="5"/>
        <v>AP</v>
      </c>
      <c r="G379" s="78" t="str">
        <f t="shared" si="2"/>
        <v>KAL1-A-1106-AP</v>
      </c>
      <c r="H379" s="78" t="s">
        <v>230</v>
      </c>
      <c r="I379" s="78" t="s">
        <v>294</v>
      </c>
      <c r="J379" s="78" t="s">
        <v>301</v>
      </c>
      <c r="K379" s="184">
        <v>102.0</v>
      </c>
      <c r="L379" s="137">
        <v>570000.0</v>
      </c>
      <c r="M379" s="78" t="s">
        <v>296</v>
      </c>
      <c r="N379" s="137">
        <v>2.0</v>
      </c>
      <c r="O379" s="185">
        <v>2.0</v>
      </c>
      <c r="P379" s="167" t="s">
        <v>412</v>
      </c>
      <c r="Q379" s="183"/>
      <c r="R379" s="78" t="s">
        <v>307</v>
      </c>
      <c r="S379" s="189">
        <v>10.0</v>
      </c>
      <c r="T379" s="80"/>
      <c r="U379" s="168"/>
      <c r="V379" s="187"/>
      <c r="W379" s="130"/>
      <c r="X379" s="188" t="s">
        <v>231</v>
      </c>
      <c r="Y379" s="78" t="s">
        <v>86</v>
      </c>
      <c r="Z379" s="78" t="s">
        <v>87</v>
      </c>
      <c r="AA379" s="167" t="s">
        <v>233</v>
      </c>
      <c r="AB379" s="79" t="s">
        <v>416</v>
      </c>
      <c r="AC379" s="130"/>
      <c r="AD379" s="130"/>
    </row>
    <row r="380">
      <c r="A380" s="78">
        <v>34.0</v>
      </c>
      <c r="B380" s="57" t="s">
        <v>228</v>
      </c>
      <c r="C380" s="78" t="s">
        <v>229</v>
      </c>
      <c r="D380" s="80"/>
      <c r="E380" s="137">
        <v>1107.0</v>
      </c>
      <c r="F380" s="9" t="str">
        <f t="shared" si="5"/>
        <v>AP</v>
      </c>
      <c r="G380" s="78" t="str">
        <f t="shared" si="2"/>
        <v>KAL1-A-1107-AP</v>
      </c>
      <c r="H380" s="78" t="s">
        <v>230</v>
      </c>
      <c r="I380" s="78" t="s">
        <v>294</v>
      </c>
      <c r="J380" s="78" t="s">
        <v>301</v>
      </c>
      <c r="K380" s="184">
        <v>133.0</v>
      </c>
      <c r="L380" s="137">
        <v>760000.0</v>
      </c>
      <c r="M380" s="78" t="s">
        <v>296</v>
      </c>
      <c r="N380" s="137">
        <v>3.0</v>
      </c>
      <c r="O380" s="185">
        <v>2.0</v>
      </c>
      <c r="P380" s="167" t="s">
        <v>412</v>
      </c>
      <c r="Q380" s="183"/>
      <c r="R380" s="78" t="s">
        <v>307</v>
      </c>
      <c r="S380" s="189">
        <v>10.0</v>
      </c>
      <c r="T380" s="80"/>
      <c r="U380" s="168"/>
      <c r="V380" s="187"/>
      <c r="W380" s="130"/>
      <c r="X380" s="188" t="s">
        <v>231</v>
      </c>
      <c r="Y380" s="78" t="s">
        <v>86</v>
      </c>
      <c r="Z380" s="78" t="s">
        <v>87</v>
      </c>
      <c r="AA380" s="167" t="s">
        <v>233</v>
      </c>
      <c r="AB380" s="79" t="s">
        <v>413</v>
      </c>
      <c r="AC380" s="130"/>
      <c r="AD380" s="130"/>
    </row>
    <row r="381">
      <c r="A381" s="78">
        <v>34.0</v>
      </c>
      <c r="B381" s="57" t="s">
        <v>228</v>
      </c>
      <c r="C381" s="78" t="s">
        <v>229</v>
      </c>
      <c r="D381" s="80"/>
      <c r="E381" s="137">
        <v>1108.0</v>
      </c>
      <c r="F381" s="9" t="str">
        <f t="shared" si="5"/>
        <v>AP</v>
      </c>
      <c r="G381" s="78" t="str">
        <f t="shared" si="2"/>
        <v>KAL1-A-1108-AP</v>
      </c>
      <c r="H381" s="78" t="s">
        <v>230</v>
      </c>
      <c r="I381" s="78" t="s">
        <v>294</v>
      </c>
      <c r="J381" s="78" t="s">
        <v>301</v>
      </c>
      <c r="K381" s="184">
        <v>135.0</v>
      </c>
      <c r="L381" s="137">
        <v>715000.0</v>
      </c>
      <c r="M381" s="78" t="s">
        <v>296</v>
      </c>
      <c r="N381" s="137">
        <v>3.0</v>
      </c>
      <c r="O381" s="185">
        <v>2.0</v>
      </c>
      <c r="P381" s="167" t="s">
        <v>412</v>
      </c>
      <c r="Q381" s="183"/>
      <c r="R381" s="78" t="s">
        <v>307</v>
      </c>
      <c r="S381" s="189">
        <v>10.0</v>
      </c>
      <c r="T381" s="80"/>
      <c r="U381" s="168"/>
      <c r="V381" s="187"/>
      <c r="W381" s="130"/>
      <c r="X381" s="188" t="s">
        <v>231</v>
      </c>
      <c r="Y381" s="78" t="s">
        <v>86</v>
      </c>
      <c r="Z381" s="78" t="s">
        <v>87</v>
      </c>
      <c r="AA381" s="167" t="s">
        <v>233</v>
      </c>
      <c r="AB381" s="79" t="s">
        <v>413</v>
      </c>
      <c r="AC381" s="130"/>
      <c r="AD381" s="130"/>
    </row>
    <row r="382">
      <c r="A382" s="78">
        <v>34.0</v>
      </c>
      <c r="B382" s="57" t="s">
        <v>228</v>
      </c>
      <c r="C382" s="78" t="s">
        <v>229</v>
      </c>
      <c r="D382" s="80"/>
      <c r="E382" s="137">
        <v>1111.0</v>
      </c>
      <c r="F382" s="9" t="str">
        <f t="shared" si="5"/>
        <v>AP</v>
      </c>
      <c r="G382" s="78" t="str">
        <f t="shared" si="2"/>
        <v>KAL1-A-1111-AP</v>
      </c>
      <c r="H382" s="78" t="s">
        <v>230</v>
      </c>
      <c r="I382" s="78" t="s">
        <v>294</v>
      </c>
      <c r="J382" s="78" t="s">
        <v>301</v>
      </c>
      <c r="K382" s="184">
        <v>88.0</v>
      </c>
      <c r="L382" s="137">
        <v>530000.0</v>
      </c>
      <c r="M382" s="78" t="s">
        <v>296</v>
      </c>
      <c r="N382" s="137">
        <v>2.0</v>
      </c>
      <c r="O382" s="185">
        <v>2.0</v>
      </c>
      <c r="P382" s="167" t="s">
        <v>412</v>
      </c>
      <c r="Q382" s="183"/>
      <c r="R382" s="78" t="s">
        <v>307</v>
      </c>
      <c r="S382" s="189">
        <v>11.0</v>
      </c>
      <c r="T382" s="80"/>
      <c r="U382" s="168"/>
      <c r="V382" s="187"/>
      <c r="W382" s="130"/>
      <c r="X382" s="188" t="s">
        <v>231</v>
      </c>
      <c r="Y382" s="78" t="s">
        <v>86</v>
      </c>
      <c r="Z382" s="78" t="s">
        <v>87</v>
      </c>
      <c r="AA382" s="167" t="s">
        <v>233</v>
      </c>
      <c r="AB382" s="79" t="s">
        <v>413</v>
      </c>
      <c r="AC382" s="130"/>
      <c r="AD382" s="130"/>
    </row>
    <row r="383">
      <c r="A383" s="78">
        <v>34.0</v>
      </c>
      <c r="B383" s="57" t="s">
        <v>228</v>
      </c>
      <c r="C383" s="78" t="s">
        <v>229</v>
      </c>
      <c r="D383" s="80"/>
      <c r="E383" s="137">
        <v>1112.0</v>
      </c>
      <c r="F383" s="9" t="str">
        <f t="shared" si="5"/>
        <v>AP</v>
      </c>
      <c r="G383" s="78" t="str">
        <f t="shared" si="2"/>
        <v>KAL1-A-1112-AP</v>
      </c>
      <c r="H383" s="78" t="s">
        <v>230</v>
      </c>
      <c r="I383" s="78" t="s">
        <v>294</v>
      </c>
      <c r="J383" s="78" t="s">
        <v>301</v>
      </c>
      <c r="K383" s="184">
        <v>68.0</v>
      </c>
      <c r="L383" s="137">
        <v>470000.0</v>
      </c>
      <c r="M383" s="78" t="s">
        <v>296</v>
      </c>
      <c r="N383" s="137">
        <v>1.0</v>
      </c>
      <c r="O383" s="185">
        <v>1.0</v>
      </c>
      <c r="P383" s="167" t="s">
        <v>415</v>
      </c>
      <c r="Q383" s="183"/>
      <c r="R383" s="78" t="s">
        <v>307</v>
      </c>
      <c r="S383" s="189">
        <v>11.0</v>
      </c>
      <c r="T383" s="80"/>
      <c r="U383" s="168"/>
      <c r="V383" s="187"/>
      <c r="W383" s="130"/>
      <c r="X383" s="188" t="s">
        <v>231</v>
      </c>
      <c r="Y383" s="78" t="s">
        <v>86</v>
      </c>
      <c r="Z383" s="78" t="s">
        <v>87</v>
      </c>
      <c r="AA383" s="167" t="s">
        <v>233</v>
      </c>
      <c r="AB383" s="79" t="s">
        <v>413</v>
      </c>
      <c r="AC383" s="130"/>
      <c r="AD383" s="130"/>
    </row>
    <row r="384">
      <c r="A384" s="78">
        <v>34.0</v>
      </c>
      <c r="B384" s="57" t="s">
        <v>228</v>
      </c>
      <c r="C384" s="78" t="s">
        <v>229</v>
      </c>
      <c r="D384" s="80"/>
      <c r="E384" s="137">
        <v>1113.0</v>
      </c>
      <c r="F384" s="9" t="str">
        <f t="shared" si="5"/>
        <v>AP</v>
      </c>
      <c r="G384" s="78" t="str">
        <f t="shared" si="2"/>
        <v>KAL1-A-1113-AP</v>
      </c>
      <c r="H384" s="78" t="s">
        <v>230</v>
      </c>
      <c r="I384" s="78" t="s">
        <v>294</v>
      </c>
      <c r="J384" s="78" t="s">
        <v>301</v>
      </c>
      <c r="K384" s="184">
        <v>109.0</v>
      </c>
      <c r="L384" s="137">
        <v>595000.0</v>
      </c>
      <c r="M384" s="78" t="s">
        <v>296</v>
      </c>
      <c r="N384" s="137">
        <v>2.0</v>
      </c>
      <c r="O384" s="185">
        <v>2.0</v>
      </c>
      <c r="P384" s="167" t="s">
        <v>412</v>
      </c>
      <c r="Q384" s="183"/>
      <c r="R384" s="78" t="s">
        <v>307</v>
      </c>
      <c r="S384" s="189">
        <v>11.0</v>
      </c>
      <c r="T384" s="80"/>
      <c r="U384" s="168"/>
      <c r="V384" s="187"/>
      <c r="W384" s="130"/>
      <c r="X384" s="188" t="s">
        <v>231</v>
      </c>
      <c r="Y384" s="78" t="s">
        <v>86</v>
      </c>
      <c r="Z384" s="78" t="s">
        <v>87</v>
      </c>
      <c r="AA384" s="167" t="s">
        <v>233</v>
      </c>
      <c r="AB384" s="79" t="s">
        <v>413</v>
      </c>
      <c r="AC384" s="130"/>
      <c r="AD384" s="130"/>
    </row>
    <row r="385">
      <c r="A385" s="78">
        <v>34.0</v>
      </c>
      <c r="B385" s="57" t="s">
        <v>228</v>
      </c>
      <c r="C385" s="78" t="s">
        <v>229</v>
      </c>
      <c r="D385" s="80"/>
      <c r="E385" s="137">
        <v>1114.0</v>
      </c>
      <c r="F385" s="9" t="str">
        <f t="shared" si="5"/>
        <v>AP</v>
      </c>
      <c r="G385" s="78" t="str">
        <f t="shared" si="2"/>
        <v>KAL1-A-1114-AP</v>
      </c>
      <c r="H385" s="78" t="s">
        <v>230</v>
      </c>
      <c r="I385" s="78" t="s">
        <v>294</v>
      </c>
      <c r="J385" s="78" t="s">
        <v>301</v>
      </c>
      <c r="K385" s="184">
        <v>134.0</v>
      </c>
      <c r="L385" s="137">
        <v>725000.0</v>
      </c>
      <c r="M385" s="78" t="s">
        <v>296</v>
      </c>
      <c r="N385" s="137">
        <v>3.0</v>
      </c>
      <c r="O385" s="185">
        <v>2.0</v>
      </c>
      <c r="P385" s="167" t="s">
        <v>412</v>
      </c>
      <c r="Q385" s="183"/>
      <c r="R385" s="78" t="s">
        <v>307</v>
      </c>
      <c r="S385" s="189">
        <v>11.0</v>
      </c>
      <c r="T385" s="80"/>
      <c r="U385" s="168"/>
      <c r="V385" s="187"/>
      <c r="W385" s="130"/>
      <c r="X385" s="188" t="s">
        <v>231</v>
      </c>
      <c r="Y385" s="78" t="s">
        <v>86</v>
      </c>
      <c r="Z385" s="78" t="s">
        <v>87</v>
      </c>
      <c r="AA385" s="167" t="s">
        <v>233</v>
      </c>
      <c r="AB385" s="79" t="s">
        <v>416</v>
      </c>
      <c r="AC385" s="130"/>
      <c r="AD385" s="130"/>
    </row>
    <row r="386">
      <c r="A386" s="78">
        <v>34.0</v>
      </c>
      <c r="B386" s="57" t="s">
        <v>228</v>
      </c>
      <c r="C386" s="78" t="s">
        <v>229</v>
      </c>
      <c r="D386" s="80"/>
      <c r="E386" s="137">
        <v>1115.0</v>
      </c>
      <c r="F386" s="9" t="str">
        <f t="shared" si="5"/>
        <v>AP</v>
      </c>
      <c r="G386" s="78" t="str">
        <f t="shared" si="2"/>
        <v>KAL1-A-1115-AP</v>
      </c>
      <c r="H386" s="78" t="s">
        <v>230</v>
      </c>
      <c r="I386" s="78" t="s">
        <v>294</v>
      </c>
      <c r="J386" s="78" t="s">
        <v>301</v>
      </c>
      <c r="K386" s="184">
        <v>102.0</v>
      </c>
      <c r="L386" s="137">
        <v>560000.0</v>
      </c>
      <c r="M386" s="78" t="s">
        <v>296</v>
      </c>
      <c r="N386" s="137">
        <v>2.0</v>
      </c>
      <c r="O386" s="185">
        <v>2.0</v>
      </c>
      <c r="P386" s="167" t="s">
        <v>412</v>
      </c>
      <c r="Q386" s="183"/>
      <c r="R386" s="78" t="s">
        <v>307</v>
      </c>
      <c r="S386" s="189">
        <v>11.0</v>
      </c>
      <c r="T386" s="80"/>
      <c r="U386" s="168"/>
      <c r="V386" s="187"/>
      <c r="W386" s="130"/>
      <c r="X386" s="188" t="s">
        <v>231</v>
      </c>
      <c r="Y386" s="78" t="s">
        <v>86</v>
      </c>
      <c r="Z386" s="78" t="s">
        <v>87</v>
      </c>
      <c r="AA386" s="167" t="s">
        <v>233</v>
      </c>
      <c r="AB386" s="79" t="s">
        <v>416</v>
      </c>
      <c r="AC386" s="130"/>
      <c r="AD386" s="130"/>
    </row>
    <row r="387">
      <c r="A387" s="78">
        <v>34.0</v>
      </c>
      <c r="B387" s="57" t="s">
        <v>228</v>
      </c>
      <c r="C387" s="78" t="s">
        <v>229</v>
      </c>
      <c r="D387" s="80"/>
      <c r="E387" s="137">
        <v>1116.0</v>
      </c>
      <c r="F387" s="9" t="str">
        <f t="shared" si="5"/>
        <v>AP</v>
      </c>
      <c r="G387" s="78" t="str">
        <f t="shared" si="2"/>
        <v>KAL1-A-1116-AP</v>
      </c>
      <c r="H387" s="78" t="s">
        <v>230</v>
      </c>
      <c r="I387" s="78" t="s">
        <v>294</v>
      </c>
      <c r="J387" s="78" t="s">
        <v>301</v>
      </c>
      <c r="K387" s="184">
        <v>102.0</v>
      </c>
      <c r="L387" s="137">
        <v>575000.0</v>
      </c>
      <c r="M387" s="78" t="s">
        <v>296</v>
      </c>
      <c r="N387" s="137">
        <v>2.0</v>
      </c>
      <c r="O387" s="185">
        <v>2.0</v>
      </c>
      <c r="P387" s="167" t="s">
        <v>412</v>
      </c>
      <c r="Q387" s="183"/>
      <c r="R387" s="78" t="s">
        <v>307</v>
      </c>
      <c r="S387" s="189">
        <v>11.0</v>
      </c>
      <c r="T387" s="80"/>
      <c r="U387" s="168"/>
      <c r="V387" s="187"/>
      <c r="W387" s="130"/>
      <c r="X387" s="188" t="s">
        <v>231</v>
      </c>
      <c r="Y387" s="78" t="s">
        <v>86</v>
      </c>
      <c r="Z387" s="78" t="s">
        <v>87</v>
      </c>
      <c r="AA387" s="167" t="s">
        <v>233</v>
      </c>
      <c r="AB387" s="79" t="s">
        <v>416</v>
      </c>
      <c r="AC387" s="130"/>
      <c r="AD387" s="130"/>
    </row>
    <row r="388">
      <c r="A388" s="78">
        <v>34.0</v>
      </c>
      <c r="B388" s="57" t="s">
        <v>228</v>
      </c>
      <c r="C388" s="78" t="s">
        <v>229</v>
      </c>
      <c r="D388" s="80"/>
      <c r="E388" s="137">
        <v>1117.0</v>
      </c>
      <c r="F388" s="9" t="str">
        <f t="shared" si="5"/>
        <v>AP</v>
      </c>
      <c r="G388" s="78" t="str">
        <f t="shared" si="2"/>
        <v>KAL1-A-1117-AP</v>
      </c>
      <c r="H388" s="78" t="s">
        <v>230</v>
      </c>
      <c r="I388" s="78" t="s">
        <v>294</v>
      </c>
      <c r="J388" s="78" t="s">
        <v>301</v>
      </c>
      <c r="K388" s="184">
        <v>133.0</v>
      </c>
      <c r="L388" s="137">
        <v>765000.0</v>
      </c>
      <c r="M388" s="78" t="s">
        <v>296</v>
      </c>
      <c r="N388" s="137">
        <v>3.0</v>
      </c>
      <c r="O388" s="185">
        <v>2.0</v>
      </c>
      <c r="P388" s="167" t="s">
        <v>412</v>
      </c>
      <c r="Q388" s="183"/>
      <c r="R388" s="78" t="s">
        <v>307</v>
      </c>
      <c r="S388" s="189">
        <v>11.0</v>
      </c>
      <c r="T388" s="80"/>
      <c r="U388" s="168"/>
      <c r="V388" s="187"/>
      <c r="W388" s="130"/>
      <c r="X388" s="188" t="s">
        <v>231</v>
      </c>
      <c r="Y388" s="78" t="s">
        <v>86</v>
      </c>
      <c r="Z388" s="78" t="s">
        <v>87</v>
      </c>
      <c r="AA388" s="167" t="s">
        <v>233</v>
      </c>
      <c r="AB388" s="79" t="s">
        <v>413</v>
      </c>
      <c r="AC388" s="130"/>
      <c r="AD388" s="130"/>
    </row>
    <row r="389">
      <c r="A389" s="78">
        <v>34.0</v>
      </c>
      <c r="B389" s="57" t="s">
        <v>228</v>
      </c>
      <c r="C389" s="78" t="s">
        <v>229</v>
      </c>
      <c r="D389" s="80"/>
      <c r="E389" s="137">
        <v>1118.0</v>
      </c>
      <c r="F389" s="9" t="str">
        <f t="shared" si="5"/>
        <v>AP</v>
      </c>
      <c r="G389" s="78" t="str">
        <f t="shared" si="2"/>
        <v>KAL1-A-1118-AP</v>
      </c>
      <c r="H389" s="78" t="s">
        <v>230</v>
      </c>
      <c r="I389" s="78" t="s">
        <v>294</v>
      </c>
      <c r="J389" s="78" t="s">
        <v>301</v>
      </c>
      <c r="K389" s="184">
        <v>135.0</v>
      </c>
      <c r="L389" s="137">
        <v>740000.0</v>
      </c>
      <c r="M389" s="78" t="s">
        <v>296</v>
      </c>
      <c r="N389" s="137">
        <v>3.0</v>
      </c>
      <c r="O389" s="185">
        <v>2.0</v>
      </c>
      <c r="P389" s="167" t="s">
        <v>412</v>
      </c>
      <c r="Q389" s="183"/>
      <c r="R389" s="78" t="s">
        <v>307</v>
      </c>
      <c r="S389" s="189">
        <v>11.0</v>
      </c>
      <c r="T389" s="80"/>
      <c r="U389" s="168"/>
      <c r="V389" s="187"/>
      <c r="W389" s="130"/>
      <c r="X389" s="188" t="s">
        <v>231</v>
      </c>
      <c r="Y389" s="78" t="s">
        <v>86</v>
      </c>
      <c r="Z389" s="78" t="s">
        <v>87</v>
      </c>
      <c r="AA389" s="167" t="s">
        <v>233</v>
      </c>
      <c r="AB389" s="79" t="s">
        <v>413</v>
      </c>
      <c r="AC389" s="130"/>
      <c r="AD389" s="130"/>
    </row>
    <row r="390">
      <c r="A390" s="78">
        <v>34.0</v>
      </c>
      <c r="B390" s="57" t="s">
        <v>228</v>
      </c>
      <c r="C390" s="78" t="s">
        <v>229</v>
      </c>
      <c r="D390" s="80"/>
      <c r="E390" s="137">
        <v>1121.0</v>
      </c>
      <c r="F390" s="9" t="str">
        <f t="shared" si="5"/>
        <v>AP</v>
      </c>
      <c r="G390" s="78" t="str">
        <f t="shared" si="2"/>
        <v>KAL1-A-1121-AP</v>
      </c>
      <c r="H390" s="78" t="s">
        <v>230</v>
      </c>
      <c r="I390" s="78" t="s">
        <v>294</v>
      </c>
      <c r="J390" s="78" t="s">
        <v>301</v>
      </c>
      <c r="K390" s="184">
        <v>88.0</v>
      </c>
      <c r="L390" s="137">
        <v>540000.0</v>
      </c>
      <c r="M390" s="78" t="s">
        <v>296</v>
      </c>
      <c r="N390" s="137">
        <v>2.0</v>
      </c>
      <c r="O390" s="185">
        <v>2.0</v>
      </c>
      <c r="P390" s="167" t="s">
        <v>412</v>
      </c>
      <c r="Q390" s="183"/>
      <c r="R390" s="78" t="s">
        <v>307</v>
      </c>
      <c r="S390" s="189">
        <v>12.0</v>
      </c>
      <c r="T390" s="80"/>
      <c r="U390" s="168"/>
      <c r="V390" s="187"/>
      <c r="W390" s="130"/>
      <c r="X390" s="188" t="s">
        <v>231</v>
      </c>
      <c r="Y390" s="78" t="s">
        <v>86</v>
      </c>
      <c r="Z390" s="78" t="s">
        <v>87</v>
      </c>
      <c r="AA390" s="167" t="s">
        <v>233</v>
      </c>
      <c r="AB390" s="79" t="s">
        <v>413</v>
      </c>
      <c r="AC390" s="130"/>
      <c r="AD390" s="130"/>
    </row>
    <row r="391">
      <c r="A391" s="78">
        <v>34.0</v>
      </c>
      <c r="B391" s="57" t="s">
        <v>228</v>
      </c>
      <c r="C391" s="78" t="s">
        <v>229</v>
      </c>
      <c r="D391" s="80"/>
      <c r="E391" s="137">
        <v>1122.0</v>
      </c>
      <c r="F391" s="9" t="str">
        <f t="shared" si="5"/>
        <v>AP</v>
      </c>
      <c r="G391" s="78" t="str">
        <f t="shared" si="2"/>
        <v>KAL1-A-1122-AP</v>
      </c>
      <c r="H391" s="78" t="s">
        <v>230</v>
      </c>
      <c r="I391" s="78" t="s">
        <v>294</v>
      </c>
      <c r="J391" s="78" t="s">
        <v>301</v>
      </c>
      <c r="K391" s="184">
        <v>68.0</v>
      </c>
      <c r="L391" s="137">
        <v>475000.0</v>
      </c>
      <c r="M391" s="78" t="s">
        <v>296</v>
      </c>
      <c r="N391" s="137">
        <v>1.0</v>
      </c>
      <c r="O391" s="185">
        <v>1.0</v>
      </c>
      <c r="P391" s="167" t="s">
        <v>415</v>
      </c>
      <c r="Q391" s="183"/>
      <c r="R391" s="78" t="s">
        <v>307</v>
      </c>
      <c r="S391" s="189">
        <v>12.0</v>
      </c>
      <c r="T391" s="80"/>
      <c r="U391" s="168"/>
      <c r="V391" s="187"/>
      <c r="W391" s="130"/>
      <c r="X391" s="188" t="s">
        <v>231</v>
      </c>
      <c r="Y391" s="78" t="s">
        <v>86</v>
      </c>
      <c r="Z391" s="78" t="s">
        <v>87</v>
      </c>
      <c r="AA391" s="167" t="s">
        <v>233</v>
      </c>
      <c r="AB391" s="79" t="s">
        <v>413</v>
      </c>
      <c r="AC391" s="130"/>
      <c r="AD391" s="130"/>
    </row>
    <row r="392">
      <c r="A392" s="78">
        <v>34.0</v>
      </c>
      <c r="B392" s="57" t="s">
        <v>228</v>
      </c>
      <c r="C392" s="78" t="s">
        <v>229</v>
      </c>
      <c r="D392" s="80"/>
      <c r="E392" s="137">
        <v>1123.0</v>
      </c>
      <c r="F392" s="9" t="str">
        <f t="shared" si="5"/>
        <v>AP</v>
      </c>
      <c r="G392" s="78" t="str">
        <f t="shared" si="2"/>
        <v>KAL1-A-1123-AP</v>
      </c>
      <c r="H392" s="78" t="s">
        <v>230</v>
      </c>
      <c r="I392" s="78" t="s">
        <v>294</v>
      </c>
      <c r="J392" s="78" t="s">
        <v>301</v>
      </c>
      <c r="K392" s="184">
        <v>109.0</v>
      </c>
      <c r="L392" s="137">
        <v>620000.0</v>
      </c>
      <c r="M392" s="78" t="s">
        <v>296</v>
      </c>
      <c r="N392" s="137">
        <v>2.0</v>
      </c>
      <c r="O392" s="185">
        <v>2.0</v>
      </c>
      <c r="P392" s="167" t="s">
        <v>412</v>
      </c>
      <c r="Q392" s="183"/>
      <c r="R392" s="78" t="s">
        <v>307</v>
      </c>
      <c r="S392" s="189">
        <v>12.0</v>
      </c>
      <c r="T392" s="80"/>
      <c r="U392" s="168"/>
      <c r="V392" s="187"/>
      <c r="W392" s="130"/>
      <c r="X392" s="188" t="s">
        <v>231</v>
      </c>
      <c r="Y392" s="78" t="s">
        <v>86</v>
      </c>
      <c r="Z392" s="78" t="s">
        <v>87</v>
      </c>
      <c r="AA392" s="167" t="s">
        <v>233</v>
      </c>
      <c r="AB392" s="79" t="s">
        <v>413</v>
      </c>
      <c r="AC392" s="130"/>
      <c r="AD392" s="130"/>
    </row>
    <row r="393">
      <c r="A393" s="78">
        <v>34.0</v>
      </c>
      <c r="B393" s="57" t="s">
        <v>228</v>
      </c>
      <c r="C393" s="78" t="s">
        <v>229</v>
      </c>
      <c r="D393" s="80"/>
      <c r="E393" s="137">
        <v>1124.0</v>
      </c>
      <c r="F393" s="9" t="str">
        <f t="shared" si="5"/>
        <v>AP</v>
      </c>
      <c r="G393" s="78" t="str">
        <f t="shared" si="2"/>
        <v>KAL1-A-1124-AP</v>
      </c>
      <c r="H393" s="78" t="s">
        <v>230</v>
      </c>
      <c r="I393" s="78" t="s">
        <v>294</v>
      </c>
      <c r="J393" s="78" t="s">
        <v>301</v>
      </c>
      <c r="K393" s="184">
        <v>134.0</v>
      </c>
      <c r="L393" s="137">
        <v>710000.0</v>
      </c>
      <c r="M393" s="78" t="s">
        <v>296</v>
      </c>
      <c r="N393" s="137">
        <v>3.0</v>
      </c>
      <c r="O393" s="185">
        <v>2.0</v>
      </c>
      <c r="P393" s="167" t="s">
        <v>412</v>
      </c>
      <c r="Q393" s="183"/>
      <c r="R393" s="78" t="s">
        <v>307</v>
      </c>
      <c r="S393" s="189">
        <v>12.0</v>
      </c>
      <c r="T393" s="80"/>
      <c r="U393" s="168"/>
      <c r="V393" s="187"/>
      <c r="W393" s="130"/>
      <c r="X393" s="188" t="s">
        <v>231</v>
      </c>
      <c r="Y393" s="78" t="s">
        <v>86</v>
      </c>
      <c r="Z393" s="78" t="s">
        <v>87</v>
      </c>
      <c r="AA393" s="167" t="s">
        <v>233</v>
      </c>
      <c r="AB393" s="79" t="s">
        <v>416</v>
      </c>
      <c r="AC393" s="130"/>
      <c r="AD393" s="130"/>
    </row>
    <row r="394">
      <c r="A394" s="78">
        <v>34.0</v>
      </c>
      <c r="B394" s="57" t="s">
        <v>228</v>
      </c>
      <c r="C394" s="78" t="s">
        <v>229</v>
      </c>
      <c r="D394" s="80"/>
      <c r="E394" s="137">
        <v>1125.0</v>
      </c>
      <c r="F394" s="9" t="str">
        <f t="shared" si="5"/>
        <v>AP</v>
      </c>
      <c r="G394" s="78" t="str">
        <f t="shared" si="2"/>
        <v>KAL1-A-1125-AP</v>
      </c>
      <c r="H394" s="78" t="s">
        <v>230</v>
      </c>
      <c r="I394" s="78" t="s">
        <v>294</v>
      </c>
      <c r="J394" s="78" t="s">
        <v>301</v>
      </c>
      <c r="K394" s="184">
        <v>102.0</v>
      </c>
      <c r="L394" s="137">
        <v>560000.0</v>
      </c>
      <c r="M394" s="78" t="s">
        <v>296</v>
      </c>
      <c r="N394" s="137">
        <v>2.0</v>
      </c>
      <c r="O394" s="185">
        <v>2.0</v>
      </c>
      <c r="P394" s="167" t="s">
        <v>412</v>
      </c>
      <c r="Q394" s="183"/>
      <c r="R394" s="78" t="s">
        <v>307</v>
      </c>
      <c r="S394" s="189">
        <v>12.0</v>
      </c>
      <c r="T394" s="80"/>
      <c r="U394" s="168"/>
      <c r="V394" s="187"/>
      <c r="W394" s="130"/>
      <c r="X394" s="188" t="s">
        <v>231</v>
      </c>
      <c r="Y394" s="78" t="s">
        <v>86</v>
      </c>
      <c r="Z394" s="78" t="s">
        <v>87</v>
      </c>
      <c r="AA394" s="167" t="s">
        <v>233</v>
      </c>
      <c r="AB394" s="79" t="s">
        <v>416</v>
      </c>
      <c r="AC394" s="130"/>
      <c r="AD394" s="130"/>
    </row>
    <row r="395">
      <c r="A395" s="78">
        <v>34.0</v>
      </c>
      <c r="B395" s="57" t="s">
        <v>228</v>
      </c>
      <c r="C395" s="78" t="s">
        <v>229</v>
      </c>
      <c r="D395" s="80"/>
      <c r="E395" s="137">
        <v>1126.0</v>
      </c>
      <c r="F395" s="9" t="str">
        <f t="shared" si="5"/>
        <v>AP</v>
      </c>
      <c r="G395" s="78" t="str">
        <f t="shared" si="2"/>
        <v>KAL1-A-1126-AP</v>
      </c>
      <c r="H395" s="78" t="s">
        <v>230</v>
      </c>
      <c r="I395" s="78" t="s">
        <v>294</v>
      </c>
      <c r="J395" s="78" t="s">
        <v>301</v>
      </c>
      <c r="K395" s="184">
        <v>102.0</v>
      </c>
      <c r="L395" s="137">
        <v>575000.0</v>
      </c>
      <c r="M395" s="78" t="s">
        <v>296</v>
      </c>
      <c r="N395" s="137">
        <v>2.0</v>
      </c>
      <c r="O395" s="185">
        <v>2.0</v>
      </c>
      <c r="P395" s="167" t="s">
        <v>412</v>
      </c>
      <c r="Q395" s="183"/>
      <c r="R395" s="78" t="s">
        <v>307</v>
      </c>
      <c r="S395" s="189">
        <v>12.0</v>
      </c>
      <c r="T395" s="80"/>
      <c r="U395" s="168"/>
      <c r="V395" s="187"/>
      <c r="W395" s="130"/>
      <c r="X395" s="188" t="s">
        <v>231</v>
      </c>
      <c r="Y395" s="78" t="s">
        <v>86</v>
      </c>
      <c r="Z395" s="78" t="s">
        <v>87</v>
      </c>
      <c r="AA395" s="167" t="s">
        <v>233</v>
      </c>
      <c r="AB395" s="79" t="s">
        <v>416</v>
      </c>
      <c r="AC395" s="130"/>
      <c r="AD395" s="130"/>
    </row>
    <row r="396">
      <c r="A396" s="78">
        <v>34.0</v>
      </c>
      <c r="B396" s="57" t="s">
        <v>228</v>
      </c>
      <c r="C396" s="78" t="s">
        <v>229</v>
      </c>
      <c r="D396" s="80"/>
      <c r="E396" s="137">
        <v>1127.0</v>
      </c>
      <c r="F396" s="9" t="str">
        <f t="shared" si="5"/>
        <v>AP</v>
      </c>
      <c r="G396" s="78" t="str">
        <f t="shared" si="2"/>
        <v>KAL1-A-1127-AP</v>
      </c>
      <c r="H396" s="78" t="s">
        <v>230</v>
      </c>
      <c r="I396" s="78" t="s">
        <v>294</v>
      </c>
      <c r="J396" s="78" t="s">
        <v>301</v>
      </c>
      <c r="K396" s="184">
        <v>133.0</v>
      </c>
      <c r="L396" s="137">
        <v>765000.0</v>
      </c>
      <c r="M396" s="78" t="s">
        <v>296</v>
      </c>
      <c r="N396" s="137">
        <v>3.0</v>
      </c>
      <c r="O396" s="185">
        <v>2.0</v>
      </c>
      <c r="P396" s="167" t="s">
        <v>412</v>
      </c>
      <c r="Q396" s="183"/>
      <c r="R396" s="78" t="s">
        <v>307</v>
      </c>
      <c r="S396" s="189">
        <v>12.0</v>
      </c>
      <c r="T396" s="80"/>
      <c r="U396" s="168"/>
      <c r="V396" s="187"/>
      <c r="W396" s="130"/>
      <c r="X396" s="188" t="s">
        <v>231</v>
      </c>
      <c r="Y396" s="78" t="s">
        <v>86</v>
      </c>
      <c r="Z396" s="78" t="s">
        <v>87</v>
      </c>
      <c r="AA396" s="167" t="s">
        <v>233</v>
      </c>
      <c r="AB396" s="79" t="s">
        <v>413</v>
      </c>
      <c r="AC396" s="130"/>
      <c r="AD396" s="130"/>
    </row>
    <row r="397">
      <c r="A397" s="78">
        <v>34.0</v>
      </c>
      <c r="B397" s="57" t="s">
        <v>228</v>
      </c>
      <c r="C397" s="78" t="s">
        <v>229</v>
      </c>
      <c r="D397" s="80"/>
      <c r="E397" s="137">
        <v>1128.0</v>
      </c>
      <c r="F397" s="9" t="str">
        <f t="shared" si="5"/>
        <v>AP</v>
      </c>
      <c r="G397" s="78" t="str">
        <f t="shared" si="2"/>
        <v>KAL1-A-1128-AP</v>
      </c>
      <c r="H397" s="78" t="s">
        <v>230</v>
      </c>
      <c r="I397" s="78" t="s">
        <v>294</v>
      </c>
      <c r="J397" s="78" t="s">
        <v>301</v>
      </c>
      <c r="K397" s="184">
        <v>135.0</v>
      </c>
      <c r="L397" s="137">
        <v>740000.0</v>
      </c>
      <c r="M397" s="78" t="s">
        <v>296</v>
      </c>
      <c r="N397" s="137">
        <v>3.0</v>
      </c>
      <c r="O397" s="185">
        <v>2.0</v>
      </c>
      <c r="P397" s="167" t="s">
        <v>412</v>
      </c>
      <c r="Q397" s="183"/>
      <c r="R397" s="78" t="s">
        <v>307</v>
      </c>
      <c r="S397" s="189">
        <v>12.0</v>
      </c>
      <c r="T397" s="80"/>
      <c r="U397" s="168"/>
      <c r="V397" s="187"/>
      <c r="W397" s="130"/>
      <c r="X397" s="188" t="s">
        <v>231</v>
      </c>
      <c r="Y397" s="78" t="s">
        <v>86</v>
      </c>
      <c r="Z397" s="78" t="s">
        <v>87</v>
      </c>
      <c r="AA397" s="167" t="s">
        <v>233</v>
      </c>
      <c r="AB397" s="79" t="s">
        <v>413</v>
      </c>
      <c r="AC397" s="130"/>
      <c r="AD397" s="130"/>
    </row>
    <row r="398">
      <c r="A398" s="78">
        <v>34.0</v>
      </c>
      <c r="B398" s="57" t="s">
        <v>228</v>
      </c>
      <c r="C398" s="78" t="s">
        <v>229</v>
      </c>
      <c r="D398" s="80"/>
      <c r="E398" s="137">
        <v>1131.0</v>
      </c>
      <c r="F398" s="9" t="str">
        <f t="shared" si="5"/>
        <v>AP</v>
      </c>
      <c r="G398" s="78" t="str">
        <f t="shared" si="2"/>
        <v>KAL1-A-1131-AP</v>
      </c>
      <c r="H398" s="78" t="s">
        <v>230</v>
      </c>
      <c r="I398" s="78" t="s">
        <v>294</v>
      </c>
      <c r="J398" s="78" t="s">
        <v>301</v>
      </c>
      <c r="K398" s="184">
        <v>88.0</v>
      </c>
      <c r="L398" s="137">
        <v>530000.0</v>
      </c>
      <c r="M398" s="78" t="s">
        <v>296</v>
      </c>
      <c r="N398" s="137">
        <v>2.0</v>
      </c>
      <c r="O398" s="185">
        <v>2.0</v>
      </c>
      <c r="P398" s="167" t="s">
        <v>412</v>
      </c>
      <c r="Q398" s="183"/>
      <c r="R398" s="78" t="s">
        <v>307</v>
      </c>
      <c r="S398" s="189">
        <v>13.0</v>
      </c>
      <c r="T398" s="80"/>
      <c r="U398" s="168"/>
      <c r="V398" s="187"/>
      <c r="W398" s="130"/>
      <c r="X398" s="188" t="s">
        <v>231</v>
      </c>
      <c r="Y398" s="78" t="s">
        <v>86</v>
      </c>
      <c r="Z398" s="78" t="s">
        <v>87</v>
      </c>
      <c r="AA398" s="167" t="s">
        <v>233</v>
      </c>
      <c r="AB398" s="79" t="s">
        <v>413</v>
      </c>
      <c r="AC398" s="130"/>
      <c r="AD398" s="130"/>
    </row>
    <row r="399">
      <c r="A399" s="78">
        <v>34.0</v>
      </c>
      <c r="B399" s="57" t="s">
        <v>228</v>
      </c>
      <c r="C399" s="78" t="s">
        <v>229</v>
      </c>
      <c r="D399" s="80"/>
      <c r="E399" s="137">
        <v>1132.0</v>
      </c>
      <c r="F399" s="9" t="str">
        <f t="shared" si="5"/>
        <v>AP</v>
      </c>
      <c r="G399" s="78" t="str">
        <f t="shared" si="2"/>
        <v>KAL1-A-1132-AP</v>
      </c>
      <c r="H399" s="78" t="s">
        <v>230</v>
      </c>
      <c r="I399" s="78" t="s">
        <v>294</v>
      </c>
      <c r="J399" s="78" t="s">
        <v>301</v>
      </c>
      <c r="K399" s="184">
        <v>68.0</v>
      </c>
      <c r="L399" s="137">
        <v>480000.0</v>
      </c>
      <c r="M399" s="78" t="s">
        <v>296</v>
      </c>
      <c r="N399" s="137">
        <v>1.0</v>
      </c>
      <c r="O399" s="185">
        <v>1.0</v>
      </c>
      <c r="P399" s="167" t="s">
        <v>415</v>
      </c>
      <c r="Q399" s="183"/>
      <c r="R399" s="78" t="s">
        <v>307</v>
      </c>
      <c r="S399" s="189">
        <v>13.0</v>
      </c>
      <c r="T399" s="80"/>
      <c r="U399" s="168"/>
      <c r="V399" s="187"/>
      <c r="W399" s="130"/>
      <c r="X399" s="188" t="s">
        <v>231</v>
      </c>
      <c r="Y399" s="78" t="s">
        <v>86</v>
      </c>
      <c r="Z399" s="78" t="s">
        <v>87</v>
      </c>
      <c r="AA399" s="167" t="s">
        <v>233</v>
      </c>
      <c r="AB399" s="79" t="s">
        <v>413</v>
      </c>
      <c r="AC399" s="130"/>
      <c r="AD399" s="130"/>
    </row>
    <row r="400">
      <c r="A400" s="78">
        <v>34.0</v>
      </c>
      <c r="B400" s="57" t="s">
        <v>228</v>
      </c>
      <c r="C400" s="78" t="s">
        <v>229</v>
      </c>
      <c r="D400" s="80"/>
      <c r="E400" s="137">
        <v>1133.0</v>
      </c>
      <c r="F400" s="9" t="str">
        <f t="shared" si="5"/>
        <v>AP</v>
      </c>
      <c r="G400" s="78" t="str">
        <f t="shared" si="2"/>
        <v>KAL1-A-1133-AP</v>
      </c>
      <c r="H400" s="78" t="s">
        <v>230</v>
      </c>
      <c r="I400" s="78" t="s">
        <v>294</v>
      </c>
      <c r="J400" s="78" t="s">
        <v>301</v>
      </c>
      <c r="K400" s="184">
        <v>109.0</v>
      </c>
      <c r="L400" s="137">
        <v>615000.0</v>
      </c>
      <c r="M400" s="78" t="s">
        <v>296</v>
      </c>
      <c r="N400" s="137">
        <v>2.0</v>
      </c>
      <c r="O400" s="185">
        <v>2.0</v>
      </c>
      <c r="P400" s="167" t="s">
        <v>412</v>
      </c>
      <c r="Q400" s="183"/>
      <c r="R400" s="78" t="s">
        <v>307</v>
      </c>
      <c r="S400" s="189">
        <v>13.0</v>
      </c>
      <c r="T400" s="80"/>
      <c r="U400" s="168"/>
      <c r="V400" s="187"/>
      <c r="W400" s="130"/>
      <c r="X400" s="188" t="s">
        <v>231</v>
      </c>
      <c r="Y400" s="78" t="s">
        <v>86</v>
      </c>
      <c r="Z400" s="78" t="s">
        <v>87</v>
      </c>
      <c r="AA400" s="167" t="s">
        <v>233</v>
      </c>
      <c r="AB400" s="79" t="s">
        <v>413</v>
      </c>
      <c r="AC400" s="130"/>
      <c r="AD400" s="130"/>
    </row>
    <row r="401">
      <c r="A401" s="78">
        <v>34.0</v>
      </c>
      <c r="B401" s="57" t="s">
        <v>228</v>
      </c>
      <c r="C401" s="78" t="s">
        <v>229</v>
      </c>
      <c r="D401" s="80"/>
      <c r="E401" s="137">
        <v>1134.0</v>
      </c>
      <c r="F401" s="9" t="str">
        <f t="shared" si="5"/>
        <v>AP</v>
      </c>
      <c r="G401" s="78" t="str">
        <f t="shared" si="2"/>
        <v>KAL1-A-1134-AP</v>
      </c>
      <c r="H401" s="78" t="s">
        <v>230</v>
      </c>
      <c r="I401" s="78" t="s">
        <v>294</v>
      </c>
      <c r="J401" s="78" t="s">
        <v>301</v>
      </c>
      <c r="K401" s="184">
        <v>134.0</v>
      </c>
      <c r="L401" s="137">
        <v>715000.0</v>
      </c>
      <c r="M401" s="78" t="s">
        <v>296</v>
      </c>
      <c r="N401" s="137">
        <v>3.0</v>
      </c>
      <c r="O401" s="185">
        <v>2.0</v>
      </c>
      <c r="P401" s="167" t="s">
        <v>412</v>
      </c>
      <c r="Q401" s="183"/>
      <c r="R401" s="78" t="s">
        <v>307</v>
      </c>
      <c r="S401" s="189">
        <v>13.0</v>
      </c>
      <c r="T401" s="80"/>
      <c r="U401" s="168"/>
      <c r="V401" s="187"/>
      <c r="W401" s="130"/>
      <c r="X401" s="188" t="s">
        <v>231</v>
      </c>
      <c r="Y401" s="78" t="s">
        <v>86</v>
      </c>
      <c r="Z401" s="78" t="s">
        <v>87</v>
      </c>
      <c r="AA401" s="167" t="s">
        <v>233</v>
      </c>
      <c r="AB401" s="79" t="s">
        <v>416</v>
      </c>
      <c r="AC401" s="130"/>
      <c r="AD401" s="130"/>
    </row>
    <row r="402">
      <c r="A402" s="78">
        <v>34.0</v>
      </c>
      <c r="B402" s="57" t="s">
        <v>228</v>
      </c>
      <c r="C402" s="78" t="s">
        <v>229</v>
      </c>
      <c r="D402" s="80"/>
      <c r="E402" s="137">
        <v>1135.0</v>
      </c>
      <c r="F402" s="9" t="str">
        <f t="shared" si="5"/>
        <v>AP</v>
      </c>
      <c r="G402" s="78" t="str">
        <f t="shared" si="2"/>
        <v>KAL1-A-1135-AP</v>
      </c>
      <c r="H402" s="78" t="s">
        <v>230</v>
      </c>
      <c r="I402" s="78" t="s">
        <v>294</v>
      </c>
      <c r="J402" s="78" t="s">
        <v>301</v>
      </c>
      <c r="K402" s="184">
        <v>102.0</v>
      </c>
      <c r="L402" s="137">
        <v>570000.0</v>
      </c>
      <c r="M402" s="78" t="s">
        <v>296</v>
      </c>
      <c r="N402" s="137">
        <v>2.0</v>
      </c>
      <c r="O402" s="185">
        <v>2.0</v>
      </c>
      <c r="P402" s="167" t="s">
        <v>412</v>
      </c>
      <c r="Q402" s="183"/>
      <c r="R402" s="78" t="s">
        <v>307</v>
      </c>
      <c r="S402" s="189">
        <v>13.0</v>
      </c>
      <c r="T402" s="80"/>
      <c r="U402" s="168"/>
      <c r="V402" s="187"/>
      <c r="W402" s="130"/>
      <c r="X402" s="188" t="s">
        <v>231</v>
      </c>
      <c r="Y402" s="78" t="s">
        <v>86</v>
      </c>
      <c r="Z402" s="78" t="s">
        <v>87</v>
      </c>
      <c r="AA402" s="167" t="s">
        <v>233</v>
      </c>
      <c r="AB402" s="79" t="s">
        <v>416</v>
      </c>
      <c r="AC402" s="130"/>
      <c r="AD402" s="130"/>
    </row>
    <row r="403">
      <c r="A403" s="78">
        <v>34.0</v>
      </c>
      <c r="B403" s="57" t="s">
        <v>228</v>
      </c>
      <c r="C403" s="78" t="s">
        <v>229</v>
      </c>
      <c r="D403" s="80"/>
      <c r="E403" s="137">
        <v>1136.0</v>
      </c>
      <c r="F403" s="9" t="str">
        <f t="shared" si="5"/>
        <v>AP</v>
      </c>
      <c r="G403" s="78" t="str">
        <f t="shared" si="2"/>
        <v>KAL1-A-1136-AP</v>
      </c>
      <c r="H403" s="78" t="s">
        <v>230</v>
      </c>
      <c r="I403" s="78" t="s">
        <v>294</v>
      </c>
      <c r="J403" s="78" t="s">
        <v>301</v>
      </c>
      <c r="K403" s="184">
        <v>102.0</v>
      </c>
      <c r="L403" s="137">
        <v>575000.0</v>
      </c>
      <c r="M403" s="78" t="s">
        <v>296</v>
      </c>
      <c r="N403" s="137">
        <v>2.0</v>
      </c>
      <c r="O403" s="185">
        <v>2.0</v>
      </c>
      <c r="P403" s="167" t="s">
        <v>412</v>
      </c>
      <c r="Q403" s="183"/>
      <c r="R403" s="78" t="s">
        <v>307</v>
      </c>
      <c r="S403" s="189">
        <v>13.0</v>
      </c>
      <c r="T403" s="80"/>
      <c r="U403" s="168"/>
      <c r="V403" s="187"/>
      <c r="W403" s="130"/>
      <c r="X403" s="188" t="s">
        <v>231</v>
      </c>
      <c r="Y403" s="78" t="s">
        <v>86</v>
      </c>
      <c r="Z403" s="78" t="s">
        <v>87</v>
      </c>
      <c r="AA403" s="167" t="s">
        <v>233</v>
      </c>
      <c r="AB403" s="79" t="s">
        <v>416</v>
      </c>
      <c r="AC403" s="130"/>
      <c r="AD403" s="130"/>
    </row>
    <row r="404">
      <c r="A404" s="78">
        <v>34.0</v>
      </c>
      <c r="B404" s="57" t="s">
        <v>228</v>
      </c>
      <c r="C404" s="78" t="s">
        <v>229</v>
      </c>
      <c r="D404" s="80"/>
      <c r="E404" s="137">
        <v>1137.0</v>
      </c>
      <c r="F404" s="9" t="str">
        <f t="shared" si="5"/>
        <v>AP</v>
      </c>
      <c r="G404" s="78" t="str">
        <f t="shared" si="2"/>
        <v>KAL1-A-1137-AP</v>
      </c>
      <c r="H404" s="78" t="s">
        <v>230</v>
      </c>
      <c r="I404" s="78" t="s">
        <v>294</v>
      </c>
      <c r="J404" s="78" t="s">
        <v>301</v>
      </c>
      <c r="K404" s="184">
        <v>133.0</v>
      </c>
      <c r="L404" s="137">
        <v>765000.0</v>
      </c>
      <c r="M404" s="78" t="s">
        <v>296</v>
      </c>
      <c r="N404" s="137">
        <v>3.0</v>
      </c>
      <c r="O404" s="185">
        <v>2.0</v>
      </c>
      <c r="P404" s="167" t="s">
        <v>412</v>
      </c>
      <c r="Q404" s="183"/>
      <c r="R404" s="78" t="s">
        <v>307</v>
      </c>
      <c r="S404" s="189">
        <v>13.0</v>
      </c>
      <c r="T404" s="80"/>
      <c r="U404" s="168"/>
      <c r="V404" s="187"/>
      <c r="W404" s="130"/>
      <c r="X404" s="188" t="s">
        <v>231</v>
      </c>
      <c r="Y404" s="78" t="s">
        <v>86</v>
      </c>
      <c r="Z404" s="78" t="s">
        <v>87</v>
      </c>
      <c r="AA404" s="167" t="s">
        <v>233</v>
      </c>
      <c r="AB404" s="79" t="s">
        <v>413</v>
      </c>
      <c r="AC404" s="130"/>
      <c r="AD404" s="130"/>
    </row>
    <row r="405">
      <c r="A405" s="78">
        <v>34.0</v>
      </c>
      <c r="B405" s="57" t="s">
        <v>228</v>
      </c>
      <c r="C405" s="78" t="s">
        <v>229</v>
      </c>
      <c r="D405" s="80"/>
      <c r="E405" s="137">
        <v>1138.0</v>
      </c>
      <c r="F405" s="9" t="str">
        <f t="shared" si="5"/>
        <v>AP</v>
      </c>
      <c r="G405" s="78" t="str">
        <f t="shared" si="2"/>
        <v>KAL1-A-1138-AP</v>
      </c>
      <c r="H405" s="78" t="s">
        <v>230</v>
      </c>
      <c r="I405" s="78" t="s">
        <v>294</v>
      </c>
      <c r="J405" s="78" t="s">
        <v>301</v>
      </c>
      <c r="K405" s="184">
        <v>135.0</v>
      </c>
      <c r="L405" s="137">
        <v>750000.0</v>
      </c>
      <c r="M405" s="78" t="s">
        <v>296</v>
      </c>
      <c r="N405" s="137">
        <v>3.0</v>
      </c>
      <c r="O405" s="185">
        <v>2.0</v>
      </c>
      <c r="P405" s="167" t="s">
        <v>412</v>
      </c>
      <c r="Q405" s="183"/>
      <c r="R405" s="78" t="s">
        <v>307</v>
      </c>
      <c r="S405" s="189">
        <v>13.0</v>
      </c>
      <c r="T405" s="80"/>
      <c r="U405" s="168"/>
      <c r="V405" s="187"/>
      <c r="W405" s="130"/>
      <c r="X405" s="188" t="s">
        <v>231</v>
      </c>
      <c r="Y405" s="78" t="s">
        <v>86</v>
      </c>
      <c r="Z405" s="78" t="s">
        <v>87</v>
      </c>
      <c r="AA405" s="167" t="s">
        <v>233</v>
      </c>
      <c r="AB405" s="79" t="s">
        <v>413</v>
      </c>
      <c r="AC405" s="130"/>
      <c r="AD405" s="130"/>
    </row>
    <row r="406">
      <c r="A406" s="78">
        <v>34.0</v>
      </c>
      <c r="B406" s="57" t="s">
        <v>228</v>
      </c>
      <c r="C406" s="78" t="s">
        <v>229</v>
      </c>
      <c r="D406" s="80"/>
      <c r="E406" s="137">
        <v>1141.0</v>
      </c>
      <c r="F406" s="9" t="str">
        <f t="shared" si="5"/>
        <v>AP</v>
      </c>
      <c r="G406" s="78" t="str">
        <f t="shared" si="2"/>
        <v>KAL1-A-1141-AP</v>
      </c>
      <c r="H406" s="78" t="s">
        <v>230</v>
      </c>
      <c r="I406" s="78" t="s">
        <v>294</v>
      </c>
      <c r="J406" s="78" t="s">
        <v>301</v>
      </c>
      <c r="K406" s="184">
        <v>88.0</v>
      </c>
      <c r="L406" s="137">
        <v>540000.0</v>
      </c>
      <c r="M406" s="78" t="s">
        <v>296</v>
      </c>
      <c r="N406" s="137">
        <v>2.0</v>
      </c>
      <c r="O406" s="185">
        <v>2.0</v>
      </c>
      <c r="P406" s="167" t="s">
        <v>412</v>
      </c>
      <c r="Q406" s="183"/>
      <c r="R406" s="78" t="s">
        <v>307</v>
      </c>
      <c r="S406" s="189">
        <v>14.0</v>
      </c>
      <c r="T406" s="80"/>
      <c r="U406" s="168"/>
      <c r="V406" s="187"/>
      <c r="W406" s="130"/>
      <c r="X406" s="188" t="s">
        <v>231</v>
      </c>
      <c r="Y406" s="78" t="s">
        <v>86</v>
      </c>
      <c r="Z406" s="78" t="s">
        <v>87</v>
      </c>
      <c r="AA406" s="167" t="s">
        <v>233</v>
      </c>
      <c r="AB406" s="79" t="s">
        <v>413</v>
      </c>
      <c r="AC406" s="130"/>
      <c r="AD406" s="130"/>
    </row>
    <row r="407">
      <c r="A407" s="78">
        <v>34.0</v>
      </c>
      <c r="B407" s="57" t="s">
        <v>228</v>
      </c>
      <c r="C407" s="78" t="s">
        <v>229</v>
      </c>
      <c r="D407" s="80"/>
      <c r="E407" s="137">
        <v>1142.0</v>
      </c>
      <c r="F407" s="9" t="str">
        <f t="shared" si="5"/>
        <v>AP</v>
      </c>
      <c r="G407" s="78" t="str">
        <f t="shared" si="2"/>
        <v>KAL1-A-1142-AP</v>
      </c>
      <c r="H407" s="78" t="s">
        <v>230</v>
      </c>
      <c r="I407" s="78" t="s">
        <v>294</v>
      </c>
      <c r="J407" s="78" t="s">
        <v>301</v>
      </c>
      <c r="K407" s="184">
        <v>68.0</v>
      </c>
      <c r="L407" s="137">
        <v>480000.0</v>
      </c>
      <c r="M407" s="78" t="s">
        <v>296</v>
      </c>
      <c r="N407" s="137">
        <v>1.0</v>
      </c>
      <c r="O407" s="185">
        <v>1.0</v>
      </c>
      <c r="P407" s="167" t="s">
        <v>415</v>
      </c>
      <c r="Q407" s="183"/>
      <c r="R407" s="78" t="s">
        <v>307</v>
      </c>
      <c r="S407" s="189">
        <v>14.0</v>
      </c>
      <c r="T407" s="80"/>
      <c r="U407" s="168"/>
      <c r="V407" s="187"/>
      <c r="W407" s="130"/>
      <c r="X407" s="188" t="s">
        <v>231</v>
      </c>
      <c r="Y407" s="78" t="s">
        <v>86</v>
      </c>
      <c r="Z407" s="78" t="s">
        <v>87</v>
      </c>
      <c r="AA407" s="167" t="s">
        <v>233</v>
      </c>
      <c r="AB407" s="79" t="s">
        <v>413</v>
      </c>
      <c r="AC407" s="130"/>
      <c r="AD407" s="130"/>
    </row>
    <row r="408">
      <c r="A408" s="78">
        <v>34.0</v>
      </c>
      <c r="B408" s="57" t="s">
        <v>228</v>
      </c>
      <c r="C408" s="78" t="s">
        <v>229</v>
      </c>
      <c r="D408" s="80"/>
      <c r="E408" s="137">
        <v>1143.0</v>
      </c>
      <c r="F408" s="9" t="str">
        <f t="shared" si="5"/>
        <v>AP</v>
      </c>
      <c r="G408" s="78" t="str">
        <f t="shared" si="2"/>
        <v>KAL1-A-1143-AP</v>
      </c>
      <c r="H408" s="78" t="s">
        <v>230</v>
      </c>
      <c r="I408" s="78" t="s">
        <v>294</v>
      </c>
      <c r="J408" s="78" t="s">
        <v>301</v>
      </c>
      <c r="K408" s="184">
        <v>109.0</v>
      </c>
      <c r="L408" s="137">
        <v>595000.0</v>
      </c>
      <c r="M408" s="78" t="s">
        <v>296</v>
      </c>
      <c r="N408" s="137">
        <v>2.0</v>
      </c>
      <c r="O408" s="185">
        <v>2.0</v>
      </c>
      <c r="P408" s="167" t="s">
        <v>412</v>
      </c>
      <c r="Q408" s="183"/>
      <c r="R408" s="78" t="s">
        <v>307</v>
      </c>
      <c r="S408" s="189">
        <v>14.0</v>
      </c>
      <c r="T408" s="80"/>
      <c r="U408" s="168"/>
      <c r="V408" s="187"/>
      <c r="W408" s="130"/>
      <c r="X408" s="188" t="s">
        <v>231</v>
      </c>
      <c r="Y408" s="78" t="s">
        <v>86</v>
      </c>
      <c r="Z408" s="78" t="s">
        <v>87</v>
      </c>
      <c r="AA408" s="167" t="s">
        <v>233</v>
      </c>
      <c r="AB408" s="79" t="s">
        <v>413</v>
      </c>
      <c r="AC408" s="130"/>
      <c r="AD408" s="130"/>
    </row>
    <row r="409">
      <c r="A409" s="78">
        <v>34.0</v>
      </c>
      <c r="B409" s="57" t="s">
        <v>228</v>
      </c>
      <c r="C409" s="78" t="s">
        <v>229</v>
      </c>
      <c r="D409" s="80"/>
      <c r="E409" s="137">
        <v>1144.0</v>
      </c>
      <c r="F409" s="9" t="str">
        <f t="shared" si="5"/>
        <v>AP</v>
      </c>
      <c r="G409" s="78" t="str">
        <f t="shared" si="2"/>
        <v>KAL1-A-1144-AP</v>
      </c>
      <c r="H409" s="78" t="s">
        <v>230</v>
      </c>
      <c r="I409" s="78" t="s">
        <v>294</v>
      </c>
      <c r="J409" s="78" t="s">
        <v>301</v>
      </c>
      <c r="K409" s="184">
        <v>134.0</v>
      </c>
      <c r="L409" s="137">
        <v>725000.0</v>
      </c>
      <c r="M409" s="78" t="s">
        <v>296</v>
      </c>
      <c r="N409" s="137">
        <v>3.0</v>
      </c>
      <c r="O409" s="185">
        <v>2.0</v>
      </c>
      <c r="P409" s="167" t="s">
        <v>412</v>
      </c>
      <c r="Q409" s="183"/>
      <c r="R409" s="78" t="s">
        <v>307</v>
      </c>
      <c r="S409" s="189">
        <v>14.0</v>
      </c>
      <c r="T409" s="80"/>
      <c r="U409" s="168"/>
      <c r="V409" s="187"/>
      <c r="W409" s="130"/>
      <c r="X409" s="188" t="s">
        <v>231</v>
      </c>
      <c r="Y409" s="78" t="s">
        <v>86</v>
      </c>
      <c r="Z409" s="78" t="s">
        <v>87</v>
      </c>
      <c r="AA409" s="167" t="s">
        <v>233</v>
      </c>
      <c r="AB409" s="79" t="s">
        <v>416</v>
      </c>
      <c r="AC409" s="130"/>
      <c r="AD409" s="130"/>
    </row>
    <row r="410">
      <c r="A410" s="78">
        <v>34.0</v>
      </c>
      <c r="B410" s="57" t="s">
        <v>228</v>
      </c>
      <c r="C410" s="78" t="s">
        <v>229</v>
      </c>
      <c r="D410" s="80"/>
      <c r="E410" s="137">
        <v>1145.0</v>
      </c>
      <c r="F410" s="9" t="str">
        <f t="shared" si="5"/>
        <v>AP</v>
      </c>
      <c r="G410" s="78" t="str">
        <f t="shared" si="2"/>
        <v>KAL1-A-1145-AP</v>
      </c>
      <c r="H410" s="78" t="s">
        <v>230</v>
      </c>
      <c r="I410" s="78" t="s">
        <v>294</v>
      </c>
      <c r="J410" s="78" t="s">
        <v>301</v>
      </c>
      <c r="K410" s="184">
        <v>102.0</v>
      </c>
      <c r="L410" s="137">
        <v>560000.0</v>
      </c>
      <c r="M410" s="78" t="s">
        <v>296</v>
      </c>
      <c r="N410" s="137">
        <v>2.0</v>
      </c>
      <c r="O410" s="185">
        <v>2.0</v>
      </c>
      <c r="P410" s="167" t="s">
        <v>412</v>
      </c>
      <c r="Q410" s="183"/>
      <c r="R410" s="78" t="s">
        <v>307</v>
      </c>
      <c r="S410" s="189">
        <v>14.0</v>
      </c>
      <c r="T410" s="80"/>
      <c r="U410" s="168"/>
      <c r="V410" s="187"/>
      <c r="W410" s="130"/>
      <c r="X410" s="188" t="s">
        <v>231</v>
      </c>
      <c r="Y410" s="78" t="s">
        <v>86</v>
      </c>
      <c r="Z410" s="78" t="s">
        <v>87</v>
      </c>
      <c r="AA410" s="167" t="s">
        <v>233</v>
      </c>
      <c r="AB410" s="79" t="s">
        <v>416</v>
      </c>
      <c r="AC410" s="130"/>
      <c r="AD410" s="130"/>
    </row>
    <row r="411">
      <c r="A411" s="78">
        <v>34.0</v>
      </c>
      <c r="B411" s="57" t="s">
        <v>228</v>
      </c>
      <c r="C411" s="78" t="s">
        <v>229</v>
      </c>
      <c r="D411" s="80"/>
      <c r="E411" s="137">
        <v>1146.0</v>
      </c>
      <c r="F411" s="9" t="str">
        <f t="shared" si="5"/>
        <v>AP</v>
      </c>
      <c r="G411" s="78" t="str">
        <f t="shared" si="2"/>
        <v>KAL1-A-1146-AP</v>
      </c>
      <c r="H411" s="78" t="s">
        <v>230</v>
      </c>
      <c r="I411" s="78" t="s">
        <v>294</v>
      </c>
      <c r="J411" s="78" t="s">
        <v>301</v>
      </c>
      <c r="K411" s="184">
        <v>102.0</v>
      </c>
      <c r="L411" s="137">
        <v>575000.0</v>
      </c>
      <c r="M411" s="78" t="s">
        <v>296</v>
      </c>
      <c r="N411" s="137">
        <v>2.0</v>
      </c>
      <c r="O411" s="185">
        <v>2.0</v>
      </c>
      <c r="P411" s="167" t="s">
        <v>412</v>
      </c>
      <c r="Q411" s="183"/>
      <c r="R411" s="78" t="s">
        <v>307</v>
      </c>
      <c r="S411" s="189">
        <v>14.0</v>
      </c>
      <c r="T411" s="80"/>
      <c r="U411" s="168"/>
      <c r="V411" s="187"/>
      <c r="W411" s="130"/>
      <c r="X411" s="188" t="s">
        <v>231</v>
      </c>
      <c r="Y411" s="78" t="s">
        <v>86</v>
      </c>
      <c r="Z411" s="78" t="s">
        <v>87</v>
      </c>
      <c r="AA411" s="167" t="s">
        <v>233</v>
      </c>
      <c r="AB411" s="79" t="s">
        <v>416</v>
      </c>
      <c r="AC411" s="130"/>
      <c r="AD411" s="130"/>
    </row>
    <row r="412">
      <c r="A412" s="78">
        <v>34.0</v>
      </c>
      <c r="B412" s="57" t="s">
        <v>228</v>
      </c>
      <c r="C412" s="78" t="s">
        <v>229</v>
      </c>
      <c r="D412" s="80"/>
      <c r="E412" s="137">
        <v>1147.0</v>
      </c>
      <c r="F412" s="9" t="str">
        <f t="shared" si="5"/>
        <v>AP</v>
      </c>
      <c r="G412" s="78" t="str">
        <f t="shared" si="2"/>
        <v>KAL1-A-1147-AP</v>
      </c>
      <c r="H412" s="78" t="s">
        <v>230</v>
      </c>
      <c r="I412" s="78" t="s">
        <v>294</v>
      </c>
      <c r="J412" s="78" t="s">
        <v>301</v>
      </c>
      <c r="K412" s="184">
        <v>133.0</v>
      </c>
      <c r="L412" s="137">
        <v>765000.0</v>
      </c>
      <c r="M412" s="78" t="s">
        <v>296</v>
      </c>
      <c r="N412" s="137">
        <v>3.0</v>
      </c>
      <c r="O412" s="185">
        <v>2.0</v>
      </c>
      <c r="P412" s="167" t="s">
        <v>412</v>
      </c>
      <c r="Q412" s="183"/>
      <c r="R412" s="78" t="s">
        <v>307</v>
      </c>
      <c r="S412" s="189">
        <v>14.0</v>
      </c>
      <c r="T412" s="80"/>
      <c r="U412" s="168"/>
      <c r="V412" s="187"/>
      <c r="W412" s="130"/>
      <c r="X412" s="188" t="s">
        <v>231</v>
      </c>
      <c r="Y412" s="78" t="s">
        <v>86</v>
      </c>
      <c r="Z412" s="78" t="s">
        <v>87</v>
      </c>
      <c r="AA412" s="167" t="s">
        <v>233</v>
      </c>
      <c r="AB412" s="79" t="s">
        <v>413</v>
      </c>
      <c r="AC412" s="130"/>
      <c r="AD412" s="130"/>
    </row>
    <row r="413">
      <c r="A413" s="78">
        <v>34.0</v>
      </c>
      <c r="B413" s="57" t="s">
        <v>228</v>
      </c>
      <c r="C413" s="78" t="s">
        <v>229</v>
      </c>
      <c r="D413" s="80"/>
      <c r="E413" s="137">
        <v>1148.0</v>
      </c>
      <c r="F413" s="9" t="str">
        <f t="shared" si="5"/>
        <v>AP</v>
      </c>
      <c r="G413" s="78" t="str">
        <f t="shared" si="2"/>
        <v>KAL1-A-1148-AP</v>
      </c>
      <c r="H413" s="78" t="s">
        <v>230</v>
      </c>
      <c r="I413" s="78" t="s">
        <v>294</v>
      </c>
      <c r="J413" s="78" t="s">
        <v>301</v>
      </c>
      <c r="K413" s="184">
        <v>135.0</v>
      </c>
      <c r="L413" s="137">
        <v>745000.0</v>
      </c>
      <c r="M413" s="78" t="s">
        <v>296</v>
      </c>
      <c r="N413" s="137">
        <v>3.0</v>
      </c>
      <c r="O413" s="185">
        <v>2.0</v>
      </c>
      <c r="P413" s="167" t="s">
        <v>412</v>
      </c>
      <c r="Q413" s="183"/>
      <c r="R413" s="78" t="s">
        <v>307</v>
      </c>
      <c r="S413" s="189">
        <v>14.0</v>
      </c>
      <c r="T413" s="80"/>
      <c r="U413" s="168"/>
      <c r="V413" s="187"/>
      <c r="W413" s="130"/>
      <c r="X413" s="188" t="s">
        <v>231</v>
      </c>
      <c r="Y413" s="78" t="s">
        <v>86</v>
      </c>
      <c r="Z413" s="78" t="s">
        <v>87</v>
      </c>
      <c r="AA413" s="167" t="s">
        <v>233</v>
      </c>
      <c r="AB413" s="79" t="s">
        <v>413</v>
      </c>
      <c r="AC413" s="130"/>
      <c r="AD413" s="130"/>
    </row>
    <row r="414">
      <c r="A414" s="78">
        <v>34.0</v>
      </c>
      <c r="B414" s="57" t="s">
        <v>228</v>
      </c>
      <c r="C414" s="78" t="s">
        <v>229</v>
      </c>
      <c r="D414" s="80"/>
      <c r="E414" s="137">
        <v>1151.0</v>
      </c>
      <c r="F414" s="9" t="str">
        <f t="shared" si="5"/>
        <v>AP</v>
      </c>
      <c r="G414" s="78" t="str">
        <f t="shared" si="2"/>
        <v>KAL1-A-1151-AP</v>
      </c>
      <c r="H414" s="78" t="s">
        <v>230</v>
      </c>
      <c r="I414" s="78" t="s">
        <v>294</v>
      </c>
      <c r="J414" s="78" t="s">
        <v>301</v>
      </c>
      <c r="K414" s="184">
        <v>88.0</v>
      </c>
      <c r="L414" s="137">
        <v>540000.0</v>
      </c>
      <c r="M414" s="78" t="s">
        <v>296</v>
      </c>
      <c r="N414" s="137">
        <v>2.0</v>
      </c>
      <c r="O414" s="185">
        <v>2.0</v>
      </c>
      <c r="P414" s="167" t="s">
        <v>412</v>
      </c>
      <c r="Q414" s="183"/>
      <c r="R414" s="78" t="s">
        <v>307</v>
      </c>
      <c r="S414" s="189">
        <v>15.0</v>
      </c>
      <c r="T414" s="80"/>
      <c r="U414" s="168"/>
      <c r="V414" s="187"/>
      <c r="W414" s="130"/>
      <c r="X414" s="188" t="s">
        <v>231</v>
      </c>
      <c r="Y414" s="78" t="s">
        <v>86</v>
      </c>
      <c r="Z414" s="78" t="s">
        <v>87</v>
      </c>
      <c r="AA414" s="167" t="s">
        <v>233</v>
      </c>
      <c r="AB414" s="79" t="s">
        <v>413</v>
      </c>
      <c r="AC414" s="130"/>
      <c r="AD414" s="130"/>
    </row>
    <row r="415">
      <c r="A415" s="78">
        <v>34.0</v>
      </c>
      <c r="B415" s="57" t="s">
        <v>228</v>
      </c>
      <c r="C415" s="78" t="s">
        <v>229</v>
      </c>
      <c r="D415" s="80"/>
      <c r="E415" s="137">
        <v>1152.0</v>
      </c>
      <c r="F415" s="9" t="str">
        <f t="shared" si="5"/>
        <v>AP</v>
      </c>
      <c r="G415" s="78" t="str">
        <f t="shared" si="2"/>
        <v>KAL1-A-1152-AP</v>
      </c>
      <c r="H415" s="78" t="s">
        <v>230</v>
      </c>
      <c r="I415" s="78" t="s">
        <v>294</v>
      </c>
      <c r="J415" s="78" t="s">
        <v>301</v>
      </c>
      <c r="K415" s="184">
        <v>68.0</v>
      </c>
      <c r="L415" s="137">
        <v>480000.0</v>
      </c>
      <c r="M415" s="78" t="s">
        <v>296</v>
      </c>
      <c r="N415" s="137">
        <v>1.0</v>
      </c>
      <c r="O415" s="185">
        <v>1.0</v>
      </c>
      <c r="P415" s="167" t="s">
        <v>415</v>
      </c>
      <c r="Q415" s="183"/>
      <c r="R415" s="78" t="s">
        <v>307</v>
      </c>
      <c r="S415" s="189">
        <v>15.0</v>
      </c>
      <c r="T415" s="80"/>
      <c r="U415" s="168"/>
      <c r="V415" s="187"/>
      <c r="W415" s="130"/>
      <c r="X415" s="188" t="s">
        <v>231</v>
      </c>
      <c r="Y415" s="78" t="s">
        <v>86</v>
      </c>
      <c r="Z415" s="78" t="s">
        <v>87</v>
      </c>
      <c r="AA415" s="167" t="s">
        <v>233</v>
      </c>
      <c r="AB415" s="79" t="s">
        <v>413</v>
      </c>
      <c r="AC415" s="130"/>
      <c r="AD415" s="130"/>
    </row>
    <row r="416">
      <c r="A416" s="78">
        <v>34.0</v>
      </c>
      <c r="B416" s="57" t="s">
        <v>228</v>
      </c>
      <c r="C416" s="78" t="s">
        <v>229</v>
      </c>
      <c r="D416" s="80"/>
      <c r="E416" s="137">
        <v>1153.0</v>
      </c>
      <c r="F416" s="9" t="str">
        <f t="shared" si="5"/>
        <v>AP</v>
      </c>
      <c r="G416" s="78" t="str">
        <f t="shared" si="2"/>
        <v>KAL1-A-1153-AP</v>
      </c>
      <c r="H416" s="78" t="s">
        <v>230</v>
      </c>
      <c r="I416" s="78" t="s">
        <v>294</v>
      </c>
      <c r="J416" s="78" t="s">
        <v>301</v>
      </c>
      <c r="K416" s="184">
        <v>109.0</v>
      </c>
      <c r="L416" s="137">
        <v>595000.0</v>
      </c>
      <c r="M416" s="78" t="s">
        <v>296</v>
      </c>
      <c r="N416" s="137">
        <v>2.0</v>
      </c>
      <c r="O416" s="185">
        <v>2.0</v>
      </c>
      <c r="P416" s="167" t="s">
        <v>412</v>
      </c>
      <c r="Q416" s="183"/>
      <c r="R416" s="78" t="s">
        <v>307</v>
      </c>
      <c r="S416" s="189">
        <v>15.0</v>
      </c>
      <c r="T416" s="80"/>
      <c r="U416" s="168"/>
      <c r="V416" s="187"/>
      <c r="W416" s="130"/>
      <c r="X416" s="188" t="s">
        <v>231</v>
      </c>
      <c r="Y416" s="78" t="s">
        <v>86</v>
      </c>
      <c r="Z416" s="78" t="s">
        <v>87</v>
      </c>
      <c r="AA416" s="167" t="s">
        <v>233</v>
      </c>
      <c r="AB416" s="79" t="s">
        <v>413</v>
      </c>
      <c r="AC416" s="130"/>
      <c r="AD416" s="130"/>
    </row>
    <row r="417">
      <c r="A417" s="78">
        <v>34.0</v>
      </c>
      <c r="B417" s="57" t="s">
        <v>228</v>
      </c>
      <c r="C417" s="78" t="s">
        <v>229</v>
      </c>
      <c r="D417" s="80"/>
      <c r="E417" s="137">
        <v>1154.0</v>
      </c>
      <c r="F417" s="9" t="str">
        <f t="shared" si="5"/>
        <v>AP</v>
      </c>
      <c r="G417" s="78" t="str">
        <f t="shared" si="2"/>
        <v>KAL1-A-1154-AP</v>
      </c>
      <c r="H417" s="78" t="s">
        <v>230</v>
      </c>
      <c r="I417" s="78" t="s">
        <v>294</v>
      </c>
      <c r="J417" s="78" t="s">
        <v>301</v>
      </c>
      <c r="K417" s="184">
        <v>134.0</v>
      </c>
      <c r="L417" s="137">
        <v>725000.0</v>
      </c>
      <c r="M417" s="78" t="s">
        <v>296</v>
      </c>
      <c r="N417" s="137">
        <v>3.0</v>
      </c>
      <c r="O417" s="185">
        <v>2.0</v>
      </c>
      <c r="P417" s="167" t="s">
        <v>412</v>
      </c>
      <c r="Q417" s="183"/>
      <c r="R417" s="78" t="s">
        <v>307</v>
      </c>
      <c r="S417" s="189">
        <v>15.0</v>
      </c>
      <c r="T417" s="80"/>
      <c r="U417" s="168"/>
      <c r="V417" s="187"/>
      <c r="W417" s="130"/>
      <c r="X417" s="188" t="s">
        <v>231</v>
      </c>
      <c r="Y417" s="78" t="s">
        <v>86</v>
      </c>
      <c r="Z417" s="78" t="s">
        <v>87</v>
      </c>
      <c r="AA417" s="167" t="s">
        <v>233</v>
      </c>
      <c r="AB417" s="79" t="s">
        <v>416</v>
      </c>
      <c r="AC417" s="130"/>
      <c r="AD417" s="130"/>
    </row>
    <row r="418">
      <c r="A418" s="78">
        <v>34.0</v>
      </c>
      <c r="B418" s="57" t="s">
        <v>228</v>
      </c>
      <c r="C418" s="78" t="s">
        <v>229</v>
      </c>
      <c r="D418" s="80"/>
      <c r="E418" s="137">
        <v>1155.0</v>
      </c>
      <c r="F418" s="9" t="str">
        <f t="shared" si="5"/>
        <v>AP</v>
      </c>
      <c r="G418" s="78" t="str">
        <f t="shared" si="2"/>
        <v>KAL1-A-1155-AP</v>
      </c>
      <c r="H418" s="78" t="s">
        <v>230</v>
      </c>
      <c r="I418" s="78" t="s">
        <v>294</v>
      </c>
      <c r="J418" s="78" t="s">
        <v>301</v>
      </c>
      <c r="K418" s="184">
        <v>102.0</v>
      </c>
      <c r="L418" s="137">
        <v>580000.0</v>
      </c>
      <c r="M418" s="78" t="s">
        <v>296</v>
      </c>
      <c r="N418" s="137">
        <v>2.0</v>
      </c>
      <c r="O418" s="185">
        <v>2.0</v>
      </c>
      <c r="P418" s="167" t="s">
        <v>412</v>
      </c>
      <c r="Q418" s="183"/>
      <c r="R418" s="78" t="s">
        <v>307</v>
      </c>
      <c r="S418" s="189">
        <v>15.0</v>
      </c>
      <c r="T418" s="80"/>
      <c r="U418" s="168"/>
      <c r="V418" s="187"/>
      <c r="W418" s="130"/>
      <c r="X418" s="188" t="s">
        <v>231</v>
      </c>
      <c r="Y418" s="78" t="s">
        <v>86</v>
      </c>
      <c r="Z418" s="78" t="s">
        <v>87</v>
      </c>
      <c r="AA418" s="167" t="s">
        <v>233</v>
      </c>
      <c r="AB418" s="79" t="s">
        <v>416</v>
      </c>
      <c r="AC418" s="130"/>
      <c r="AD418" s="130"/>
    </row>
    <row r="419">
      <c r="A419" s="78">
        <v>34.0</v>
      </c>
      <c r="B419" s="57" t="s">
        <v>228</v>
      </c>
      <c r="C419" s="78" t="s">
        <v>229</v>
      </c>
      <c r="D419" s="80"/>
      <c r="E419" s="137">
        <v>1156.0</v>
      </c>
      <c r="F419" s="9" t="str">
        <f t="shared" si="5"/>
        <v>AP</v>
      </c>
      <c r="G419" s="78" t="str">
        <f t="shared" si="2"/>
        <v>KAL1-A-1156-AP</v>
      </c>
      <c r="H419" s="78" t="s">
        <v>230</v>
      </c>
      <c r="I419" s="78" t="s">
        <v>294</v>
      </c>
      <c r="J419" s="78" t="s">
        <v>301</v>
      </c>
      <c r="K419" s="184">
        <v>102.0</v>
      </c>
      <c r="L419" s="137">
        <v>570000.0</v>
      </c>
      <c r="M419" s="78" t="s">
        <v>296</v>
      </c>
      <c r="N419" s="137">
        <v>2.0</v>
      </c>
      <c r="O419" s="185">
        <v>2.0</v>
      </c>
      <c r="P419" s="167" t="s">
        <v>412</v>
      </c>
      <c r="Q419" s="183"/>
      <c r="R419" s="78" t="s">
        <v>307</v>
      </c>
      <c r="S419" s="189">
        <v>15.0</v>
      </c>
      <c r="T419" s="80"/>
      <c r="U419" s="168"/>
      <c r="V419" s="187"/>
      <c r="W419" s="130"/>
      <c r="X419" s="188" t="s">
        <v>231</v>
      </c>
      <c r="Y419" s="78" t="s">
        <v>86</v>
      </c>
      <c r="Z419" s="78" t="s">
        <v>87</v>
      </c>
      <c r="AA419" s="167" t="s">
        <v>233</v>
      </c>
      <c r="AB419" s="79" t="s">
        <v>416</v>
      </c>
      <c r="AC419" s="130"/>
      <c r="AD419" s="130"/>
    </row>
    <row r="420">
      <c r="A420" s="78">
        <v>34.0</v>
      </c>
      <c r="B420" s="57" t="s">
        <v>228</v>
      </c>
      <c r="C420" s="78" t="s">
        <v>229</v>
      </c>
      <c r="D420" s="80"/>
      <c r="E420" s="137">
        <v>1157.0</v>
      </c>
      <c r="F420" s="9" t="str">
        <f t="shared" si="5"/>
        <v>AP</v>
      </c>
      <c r="G420" s="78" t="str">
        <f t="shared" si="2"/>
        <v>KAL1-A-1157-AP</v>
      </c>
      <c r="H420" s="78" t="s">
        <v>230</v>
      </c>
      <c r="I420" s="78" t="s">
        <v>294</v>
      </c>
      <c r="J420" s="78" t="s">
        <v>301</v>
      </c>
      <c r="K420" s="184">
        <v>133.0</v>
      </c>
      <c r="L420" s="137">
        <v>765000.0</v>
      </c>
      <c r="M420" s="78" t="s">
        <v>296</v>
      </c>
      <c r="N420" s="137">
        <v>3.0</v>
      </c>
      <c r="O420" s="185">
        <v>2.0</v>
      </c>
      <c r="P420" s="167" t="s">
        <v>412</v>
      </c>
      <c r="Q420" s="183"/>
      <c r="R420" s="78" t="s">
        <v>307</v>
      </c>
      <c r="S420" s="189">
        <v>15.0</v>
      </c>
      <c r="T420" s="80"/>
      <c r="U420" s="168"/>
      <c r="V420" s="187"/>
      <c r="W420" s="130"/>
      <c r="X420" s="188" t="s">
        <v>231</v>
      </c>
      <c r="Y420" s="78" t="s">
        <v>86</v>
      </c>
      <c r="Z420" s="78" t="s">
        <v>87</v>
      </c>
      <c r="AA420" s="167" t="s">
        <v>233</v>
      </c>
      <c r="AB420" s="79" t="s">
        <v>413</v>
      </c>
      <c r="AC420" s="130"/>
      <c r="AD420" s="130"/>
    </row>
    <row r="421">
      <c r="A421" s="78">
        <v>34.0</v>
      </c>
      <c r="B421" s="57" t="s">
        <v>228</v>
      </c>
      <c r="C421" s="78" t="s">
        <v>229</v>
      </c>
      <c r="D421" s="80"/>
      <c r="E421" s="137">
        <v>1158.0</v>
      </c>
      <c r="F421" s="9" t="str">
        <f t="shared" si="5"/>
        <v>AP</v>
      </c>
      <c r="G421" s="78" t="str">
        <f t="shared" si="2"/>
        <v>KAL1-A-1158-AP</v>
      </c>
      <c r="H421" s="78" t="s">
        <v>230</v>
      </c>
      <c r="I421" s="78" t="s">
        <v>294</v>
      </c>
      <c r="J421" s="78" t="s">
        <v>301</v>
      </c>
      <c r="K421" s="184">
        <v>135.0</v>
      </c>
      <c r="L421" s="137">
        <v>750000.0</v>
      </c>
      <c r="M421" s="78" t="s">
        <v>296</v>
      </c>
      <c r="N421" s="137">
        <v>3.0</v>
      </c>
      <c r="O421" s="185">
        <v>2.0</v>
      </c>
      <c r="P421" s="167" t="s">
        <v>412</v>
      </c>
      <c r="Q421" s="183"/>
      <c r="R421" s="78" t="s">
        <v>307</v>
      </c>
      <c r="S421" s="189">
        <v>15.0</v>
      </c>
      <c r="T421" s="80"/>
      <c r="U421" s="168"/>
      <c r="V421" s="187"/>
      <c r="W421" s="130"/>
      <c r="X421" s="188" t="s">
        <v>231</v>
      </c>
      <c r="Y421" s="78" t="s">
        <v>86</v>
      </c>
      <c r="Z421" s="78" t="s">
        <v>87</v>
      </c>
      <c r="AA421" s="167" t="s">
        <v>233</v>
      </c>
      <c r="AB421" s="79" t="s">
        <v>413</v>
      </c>
      <c r="AC421" s="130"/>
      <c r="AD421" s="130"/>
    </row>
    <row r="422">
      <c r="A422" s="78">
        <v>34.0</v>
      </c>
      <c r="B422" s="57" t="s">
        <v>228</v>
      </c>
      <c r="C422" s="78" t="s">
        <v>229</v>
      </c>
      <c r="D422" s="80"/>
      <c r="E422" s="137">
        <v>1161.0</v>
      </c>
      <c r="F422" s="9" t="str">
        <f t="shared" si="5"/>
        <v>AP</v>
      </c>
      <c r="G422" s="78" t="str">
        <f t="shared" si="2"/>
        <v>KAL1-A-1161-AP</v>
      </c>
      <c r="H422" s="78" t="s">
        <v>230</v>
      </c>
      <c r="I422" s="78" t="s">
        <v>294</v>
      </c>
      <c r="J422" s="78" t="s">
        <v>301</v>
      </c>
      <c r="K422" s="184">
        <v>88.0</v>
      </c>
      <c r="L422" s="137">
        <v>530000.0</v>
      </c>
      <c r="M422" s="78" t="s">
        <v>296</v>
      </c>
      <c r="N422" s="137">
        <v>2.0</v>
      </c>
      <c r="O422" s="185">
        <v>2.0</v>
      </c>
      <c r="P422" s="167" t="s">
        <v>412</v>
      </c>
      <c r="Q422" s="183"/>
      <c r="R422" s="78" t="s">
        <v>307</v>
      </c>
      <c r="S422" s="189">
        <v>16.0</v>
      </c>
      <c r="T422" s="80"/>
      <c r="U422" s="168"/>
      <c r="V422" s="187"/>
      <c r="W422" s="130"/>
      <c r="X422" s="188" t="s">
        <v>231</v>
      </c>
      <c r="Y422" s="78" t="s">
        <v>86</v>
      </c>
      <c r="Z422" s="78" t="s">
        <v>87</v>
      </c>
      <c r="AA422" s="167" t="s">
        <v>233</v>
      </c>
      <c r="AB422" s="79" t="s">
        <v>413</v>
      </c>
      <c r="AC422" s="130"/>
      <c r="AD422" s="130"/>
    </row>
    <row r="423">
      <c r="A423" s="78">
        <v>34.0</v>
      </c>
      <c r="B423" s="57" t="s">
        <v>228</v>
      </c>
      <c r="C423" s="78" t="s">
        <v>229</v>
      </c>
      <c r="D423" s="80"/>
      <c r="E423" s="137">
        <v>1162.0</v>
      </c>
      <c r="F423" s="9" t="str">
        <f t="shared" si="5"/>
        <v>AP</v>
      </c>
      <c r="G423" s="78" t="str">
        <f t="shared" si="2"/>
        <v>KAL1-A-1162-AP</v>
      </c>
      <c r="H423" s="78" t="s">
        <v>230</v>
      </c>
      <c r="I423" s="78" t="s">
        <v>294</v>
      </c>
      <c r="J423" s="78" t="s">
        <v>301</v>
      </c>
      <c r="K423" s="184">
        <v>68.0</v>
      </c>
      <c r="L423" s="137">
        <v>480000.0</v>
      </c>
      <c r="M423" s="78" t="s">
        <v>296</v>
      </c>
      <c r="N423" s="137">
        <v>1.0</v>
      </c>
      <c r="O423" s="185">
        <v>1.0</v>
      </c>
      <c r="P423" s="167" t="s">
        <v>415</v>
      </c>
      <c r="Q423" s="183"/>
      <c r="R423" s="78" t="s">
        <v>307</v>
      </c>
      <c r="S423" s="189">
        <v>16.0</v>
      </c>
      <c r="T423" s="80"/>
      <c r="U423" s="168"/>
      <c r="V423" s="187"/>
      <c r="W423" s="130"/>
      <c r="X423" s="188" t="s">
        <v>231</v>
      </c>
      <c r="Y423" s="78" t="s">
        <v>86</v>
      </c>
      <c r="Z423" s="78" t="s">
        <v>87</v>
      </c>
      <c r="AA423" s="167" t="s">
        <v>233</v>
      </c>
      <c r="AB423" s="79" t="s">
        <v>413</v>
      </c>
      <c r="AC423" s="130"/>
      <c r="AD423" s="130"/>
    </row>
    <row r="424">
      <c r="A424" s="78">
        <v>34.0</v>
      </c>
      <c r="B424" s="57" t="s">
        <v>228</v>
      </c>
      <c r="C424" s="78" t="s">
        <v>229</v>
      </c>
      <c r="D424" s="80"/>
      <c r="E424" s="137">
        <v>1163.0</v>
      </c>
      <c r="F424" s="9" t="str">
        <f t="shared" si="5"/>
        <v>AP</v>
      </c>
      <c r="G424" s="78" t="str">
        <f t="shared" si="2"/>
        <v>KAL1-A-1163-AP</v>
      </c>
      <c r="H424" s="78" t="s">
        <v>230</v>
      </c>
      <c r="I424" s="78" t="s">
        <v>294</v>
      </c>
      <c r="J424" s="78" t="s">
        <v>301</v>
      </c>
      <c r="K424" s="184">
        <v>109.0</v>
      </c>
      <c r="L424" s="137">
        <v>615000.0</v>
      </c>
      <c r="M424" s="78" t="s">
        <v>296</v>
      </c>
      <c r="N424" s="137">
        <v>2.0</v>
      </c>
      <c r="O424" s="185">
        <v>2.0</v>
      </c>
      <c r="P424" s="167" t="s">
        <v>412</v>
      </c>
      <c r="Q424" s="183"/>
      <c r="R424" s="78" t="s">
        <v>307</v>
      </c>
      <c r="S424" s="189">
        <v>16.0</v>
      </c>
      <c r="T424" s="80"/>
      <c r="U424" s="168"/>
      <c r="V424" s="187"/>
      <c r="W424" s="130"/>
      <c r="X424" s="188" t="s">
        <v>231</v>
      </c>
      <c r="Y424" s="78" t="s">
        <v>86</v>
      </c>
      <c r="Z424" s="78" t="s">
        <v>87</v>
      </c>
      <c r="AA424" s="167" t="s">
        <v>233</v>
      </c>
      <c r="AB424" s="79" t="s">
        <v>413</v>
      </c>
      <c r="AC424" s="130"/>
      <c r="AD424" s="130"/>
    </row>
    <row r="425">
      <c r="A425" s="78">
        <v>34.0</v>
      </c>
      <c r="B425" s="57" t="s">
        <v>228</v>
      </c>
      <c r="C425" s="78" t="s">
        <v>229</v>
      </c>
      <c r="D425" s="80"/>
      <c r="E425" s="137">
        <v>1164.0</v>
      </c>
      <c r="F425" s="9" t="str">
        <f t="shared" si="5"/>
        <v>AP</v>
      </c>
      <c r="G425" s="78" t="str">
        <f t="shared" si="2"/>
        <v>KAL1-A-1164-AP</v>
      </c>
      <c r="H425" s="78" t="s">
        <v>230</v>
      </c>
      <c r="I425" s="78" t="s">
        <v>294</v>
      </c>
      <c r="J425" s="78" t="s">
        <v>301</v>
      </c>
      <c r="K425" s="184">
        <v>134.0</v>
      </c>
      <c r="L425" s="137">
        <v>715000.0</v>
      </c>
      <c r="M425" s="78" t="s">
        <v>296</v>
      </c>
      <c r="N425" s="137">
        <v>3.0</v>
      </c>
      <c r="O425" s="185">
        <v>2.0</v>
      </c>
      <c r="P425" s="167" t="s">
        <v>412</v>
      </c>
      <c r="Q425" s="183"/>
      <c r="R425" s="78" t="s">
        <v>307</v>
      </c>
      <c r="S425" s="189">
        <v>16.0</v>
      </c>
      <c r="T425" s="80"/>
      <c r="U425" s="168"/>
      <c r="V425" s="187"/>
      <c r="W425" s="130"/>
      <c r="X425" s="188" t="s">
        <v>231</v>
      </c>
      <c r="Y425" s="78" t="s">
        <v>86</v>
      </c>
      <c r="Z425" s="78" t="s">
        <v>87</v>
      </c>
      <c r="AA425" s="167" t="s">
        <v>233</v>
      </c>
      <c r="AB425" s="79" t="s">
        <v>416</v>
      </c>
      <c r="AC425" s="130"/>
      <c r="AD425" s="130"/>
    </row>
    <row r="426">
      <c r="A426" s="78">
        <v>34.0</v>
      </c>
      <c r="B426" s="57" t="s">
        <v>228</v>
      </c>
      <c r="C426" s="78" t="s">
        <v>229</v>
      </c>
      <c r="D426" s="80"/>
      <c r="E426" s="137">
        <v>1165.0</v>
      </c>
      <c r="F426" s="9" t="str">
        <f t="shared" si="5"/>
        <v>AP</v>
      </c>
      <c r="G426" s="78" t="str">
        <f t="shared" si="2"/>
        <v>KAL1-A-1165-AP</v>
      </c>
      <c r="H426" s="78" t="s">
        <v>230</v>
      </c>
      <c r="I426" s="78" t="s">
        <v>294</v>
      </c>
      <c r="J426" s="78" t="s">
        <v>301</v>
      </c>
      <c r="K426" s="184">
        <v>102.0</v>
      </c>
      <c r="L426" s="137">
        <v>570000.0</v>
      </c>
      <c r="M426" s="78" t="s">
        <v>296</v>
      </c>
      <c r="N426" s="137">
        <v>2.0</v>
      </c>
      <c r="O426" s="185">
        <v>2.0</v>
      </c>
      <c r="P426" s="167" t="s">
        <v>412</v>
      </c>
      <c r="Q426" s="183"/>
      <c r="R426" s="78" t="s">
        <v>307</v>
      </c>
      <c r="S426" s="189">
        <v>16.0</v>
      </c>
      <c r="T426" s="80"/>
      <c r="U426" s="168"/>
      <c r="V426" s="187"/>
      <c r="W426" s="130"/>
      <c r="X426" s="188" t="s">
        <v>231</v>
      </c>
      <c r="Y426" s="78" t="s">
        <v>86</v>
      </c>
      <c r="Z426" s="78" t="s">
        <v>87</v>
      </c>
      <c r="AA426" s="167" t="s">
        <v>233</v>
      </c>
      <c r="AB426" s="79" t="s">
        <v>416</v>
      </c>
      <c r="AC426" s="130"/>
      <c r="AD426" s="130"/>
    </row>
    <row r="427">
      <c r="A427" s="78">
        <v>34.0</v>
      </c>
      <c r="B427" s="57" t="s">
        <v>228</v>
      </c>
      <c r="C427" s="78" t="s">
        <v>229</v>
      </c>
      <c r="D427" s="80"/>
      <c r="E427" s="137">
        <v>1166.0</v>
      </c>
      <c r="F427" s="9" t="str">
        <f t="shared" si="5"/>
        <v>AP</v>
      </c>
      <c r="G427" s="78" t="str">
        <f t="shared" si="2"/>
        <v>KAL1-A-1166-AP</v>
      </c>
      <c r="H427" s="78" t="s">
        <v>230</v>
      </c>
      <c r="I427" s="78" t="s">
        <v>294</v>
      </c>
      <c r="J427" s="78" t="s">
        <v>301</v>
      </c>
      <c r="K427" s="184">
        <v>102.0</v>
      </c>
      <c r="L427" s="137">
        <v>570000.0</v>
      </c>
      <c r="M427" s="78" t="s">
        <v>296</v>
      </c>
      <c r="N427" s="137">
        <v>2.0</v>
      </c>
      <c r="O427" s="185">
        <v>2.0</v>
      </c>
      <c r="P427" s="167" t="s">
        <v>412</v>
      </c>
      <c r="Q427" s="183"/>
      <c r="R427" s="78" t="s">
        <v>307</v>
      </c>
      <c r="S427" s="189">
        <v>16.0</v>
      </c>
      <c r="T427" s="80"/>
      <c r="U427" s="168"/>
      <c r="V427" s="187"/>
      <c r="W427" s="130"/>
      <c r="X427" s="188" t="s">
        <v>231</v>
      </c>
      <c r="Y427" s="78" t="s">
        <v>86</v>
      </c>
      <c r="Z427" s="78" t="s">
        <v>87</v>
      </c>
      <c r="AA427" s="167" t="s">
        <v>233</v>
      </c>
      <c r="AB427" s="79" t="s">
        <v>416</v>
      </c>
      <c r="AC427" s="130"/>
      <c r="AD427" s="130"/>
    </row>
    <row r="428">
      <c r="A428" s="78">
        <v>34.0</v>
      </c>
      <c r="B428" s="57" t="s">
        <v>228</v>
      </c>
      <c r="C428" s="78" t="s">
        <v>229</v>
      </c>
      <c r="D428" s="80"/>
      <c r="E428" s="137">
        <v>1167.0</v>
      </c>
      <c r="F428" s="9" t="str">
        <f t="shared" si="5"/>
        <v>AP</v>
      </c>
      <c r="G428" s="78" t="str">
        <f t="shared" si="2"/>
        <v>KAL1-A-1167-AP</v>
      </c>
      <c r="H428" s="78" t="s">
        <v>230</v>
      </c>
      <c r="I428" s="78" t="s">
        <v>294</v>
      </c>
      <c r="J428" s="78" t="s">
        <v>301</v>
      </c>
      <c r="K428" s="184">
        <v>133.0</v>
      </c>
      <c r="L428" s="137">
        <v>765000.0</v>
      </c>
      <c r="M428" s="78" t="s">
        <v>296</v>
      </c>
      <c r="N428" s="137">
        <v>3.0</v>
      </c>
      <c r="O428" s="185">
        <v>2.0</v>
      </c>
      <c r="P428" s="167" t="s">
        <v>412</v>
      </c>
      <c r="Q428" s="183"/>
      <c r="R428" s="78" t="s">
        <v>307</v>
      </c>
      <c r="S428" s="189">
        <v>16.0</v>
      </c>
      <c r="T428" s="80"/>
      <c r="U428" s="168"/>
      <c r="V428" s="187"/>
      <c r="W428" s="130"/>
      <c r="X428" s="188" t="s">
        <v>231</v>
      </c>
      <c r="Y428" s="78" t="s">
        <v>86</v>
      </c>
      <c r="Z428" s="78" t="s">
        <v>87</v>
      </c>
      <c r="AA428" s="167" t="s">
        <v>233</v>
      </c>
      <c r="AB428" s="79" t="s">
        <v>413</v>
      </c>
      <c r="AC428" s="130"/>
      <c r="AD428" s="130"/>
    </row>
    <row r="429">
      <c r="A429" s="78">
        <v>34.0</v>
      </c>
      <c r="B429" s="57" t="s">
        <v>228</v>
      </c>
      <c r="C429" s="78" t="s">
        <v>229</v>
      </c>
      <c r="D429" s="80"/>
      <c r="E429" s="137">
        <v>1168.0</v>
      </c>
      <c r="F429" s="9" t="str">
        <f t="shared" si="5"/>
        <v>AP</v>
      </c>
      <c r="G429" s="78" t="str">
        <f t="shared" si="2"/>
        <v>KAL1-A-1168-AP</v>
      </c>
      <c r="H429" s="78" t="s">
        <v>230</v>
      </c>
      <c r="I429" s="78" t="s">
        <v>294</v>
      </c>
      <c r="J429" s="78" t="s">
        <v>301</v>
      </c>
      <c r="K429" s="184">
        <v>135.0</v>
      </c>
      <c r="L429" s="137">
        <v>750000.0</v>
      </c>
      <c r="M429" s="78" t="s">
        <v>296</v>
      </c>
      <c r="N429" s="137">
        <v>3.0</v>
      </c>
      <c r="O429" s="185">
        <v>2.0</v>
      </c>
      <c r="P429" s="167" t="s">
        <v>412</v>
      </c>
      <c r="Q429" s="183"/>
      <c r="R429" s="78" t="s">
        <v>307</v>
      </c>
      <c r="S429" s="189">
        <v>16.0</v>
      </c>
      <c r="T429" s="80"/>
      <c r="U429" s="168"/>
      <c r="V429" s="187"/>
      <c r="W429" s="130"/>
      <c r="X429" s="188" t="s">
        <v>231</v>
      </c>
      <c r="Y429" s="78" t="s">
        <v>86</v>
      </c>
      <c r="Z429" s="78" t="s">
        <v>87</v>
      </c>
      <c r="AA429" s="167" t="s">
        <v>233</v>
      </c>
      <c r="AB429" s="79" t="s">
        <v>413</v>
      </c>
      <c r="AC429" s="130"/>
      <c r="AD429" s="130"/>
    </row>
    <row r="430">
      <c r="A430" s="78">
        <v>34.0</v>
      </c>
      <c r="B430" s="57" t="s">
        <v>228</v>
      </c>
      <c r="C430" s="78" t="s">
        <v>229</v>
      </c>
      <c r="D430" s="80"/>
      <c r="E430" s="137">
        <v>1171.0</v>
      </c>
      <c r="F430" s="9" t="str">
        <f t="shared" si="5"/>
        <v>AP</v>
      </c>
      <c r="G430" s="78" t="str">
        <f t="shared" si="2"/>
        <v>KAL1-A-1171-AP</v>
      </c>
      <c r="H430" s="78" t="s">
        <v>230</v>
      </c>
      <c r="I430" s="78" t="s">
        <v>294</v>
      </c>
      <c r="J430" s="78" t="s">
        <v>301</v>
      </c>
      <c r="K430" s="184">
        <v>88.0</v>
      </c>
      <c r="L430" s="137">
        <v>535000.0</v>
      </c>
      <c r="M430" s="78" t="s">
        <v>296</v>
      </c>
      <c r="N430" s="137">
        <v>2.0</v>
      </c>
      <c r="O430" s="185">
        <v>2.0</v>
      </c>
      <c r="P430" s="167" t="s">
        <v>412</v>
      </c>
      <c r="Q430" s="183"/>
      <c r="R430" s="78" t="s">
        <v>307</v>
      </c>
      <c r="S430" s="189">
        <v>17.0</v>
      </c>
      <c r="T430" s="80"/>
      <c r="U430" s="168"/>
      <c r="V430" s="187"/>
      <c r="W430" s="130"/>
      <c r="X430" s="188" t="s">
        <v>231</v>
      </c>
      <c r="Y430" s="78" t="s">
        <v>86</v>
      </c>
      <c r="Z430" s="78" t="s">
        <v>87</v>
      </c>
      <c r="AA430" s="167" t="s">
        <v>233</v>
      </c>
      <c r="AB430" s="79" t="s">
        <v>413</v>
      </c>
      <c r="AC430" s="130"/>
      <c r="AD430" s="130"/>
    </row>
    <row r="431">
      <c r="A431" s="78">
        <v>34.0</v>
      </c>
      <c r="B431" s="57" t="s">
        <v>228</v>
      </c>
      <c r="C431" s="78" t="s">
        <v>229</v>
      </c>
      <c r="D431" s="80"/>
      <c r="E431" s="137">
        <v>1172.0</v>
      </c>
      <c r="F431" s="9" t="str">
        <f t="shared" si="5"/>
        <v>AP</v>
      </c>
      <c r="G431" s="78" t="str">
        <f t="shared" si="2"/>
        <v>KAL1-A-1172-AP</v>
      </c>
      <c r="H431" s="78" t="s">
        <v>230</v>
      </c>
      <c r="I431" s="78" t="s">
        <v>294</v>
      </c>
      <c r="J431" s="78" t="s">
        <v>301</v>
      </c>
      <c r="K431" s="184">
        <v>68.0</v>
      </c>
      <c r="L431" s="137">
        <v>475000.0</v>
      </c>
      <c r="M431" s="78" t="s">
        <v>296</v>
      </c>
      <c r="N431" s="137">
        <v>1.0</v>
      </c>
      <c r="O431" s="185">
        <v>1.0</v>
      </c>
      <c r="P431" s="167" t="s">
        <v>415</v>
      </c>
      <c r="Q431" s="183"/>
      <c r="R431" s="78" t="s">
        <v>307</v>
      </c>
      <c r="S431" s="189">
        <v>17.0</v>
      </c>
      <c r="T431" s="80"/>
      <c r="U431" s="168"/>
      <c r="V431" s="187"/>
      <c r="W431" s="130"/>
      <c r="X431" s="188" t="s">
        <v>231</v>
      </c>
      <c r="Y431" s="78" t="s">
        <v>86</v>
      </c>
      <c r="Z431" s="78" t="s">
        <v>87</v>
      </c>
      <c r="AA431" s="167" t="s">
        <v>233</v>
      </c>
      <c r="AB431" s="79" t="s">
        <v>413</v>
      </c>
      <c r="AC431" s="130"/>
      <c r="AD431" s="130"/>
    </row>
    <row r="432">
      <c r="A432" s="78">
        <v>34.0</v>
      </c>
      <c r="B432" s="57" t="s">
        <v>228</v>
      </c>
      <c r="C432" s="78" t="s">
        <v>229</v>
      </c>
      <c r="D432" s="80"/>
      <c r="E432" s="137">
        <v>1173.0</v>
      </c>
      <c r="F432" s="9" t="str">
        <f t="shared" si="5"/>
        <v>AP</v>
      </c>
      <c r="G432" s="78" t="str">
        <f t="shared" si="2"/>
        <v>KAL1-A-1173-AP</v>
      </c>
      <c r="H432" s="78" t="s">
        <v>230</v>
      </c>
      <c r="I432" s="78" t="s">
        <v>294</v>
      </c>
      <c r="J432" s="78" t="s">
        <v>301</v>
      </c>
      <c r="K432" s="184">
        <v>109.0</v>
      </c>
      <c r="L432" s="137">
        <v>625000.0</v>
      </c>
      <c r="M432" s="78" t="s">
        <v>296</v>
      </c>
      <c r="N432" s="137">
        <v>2.0</v>
      </c>
      <c r="O432" s="185">
        <v>2.0</v>
      </c>
      <c r="P432" s="167" t="s">
        <v>412</v>
      </c>
      <c r="Q432" s="183"/>
      <c r="R432" s="78" t="s">
        <v>307</v>
      </c>
      <c r="S432" s="189">
        <v>17.0</v>
      </c>
      <c r="T432" s="80"/>
      <c r="U432" s="168"/>
      <c r="V432" s="187"/>
      <c r="W432" s="130"/>
      <c r="X432" s="188" t="s">
        <v>231</v>
      </c>
      <c r="Y432" s="78" t="s">
        <v>86</v>
      </c>
      <c r="Z432" s="78" t="s">
        <v>87</v>
      </c>
      <c r="AA432" s="167" t="s">
        <v>233</v>
      </c>
      <c r="AB432" s="79" t="s">
        <v>413</v>
      </c>
      <c r="AC432" s="130"/>
      <c r="AD432" s="130"/>
    </row>
    <row r="433">
      <c r="A433" s="78">
        <v>34.0</v>
      </c>
      <c r="B433" s="57" t="s">
        <v>228</v>
      </c>
      <c r="C433" s="78" t="s">
        <v>229</v>
      </c>
      <c r="D433" s="80"/>
      <c r="E433" s="137">
        <v>1174.0</v>
      </c>
      <c r="F433" s="9" t="str">
        <f t="shared" si="5"/>
        <v>AP</v>
      </c>
      <c r="G433" s="78" t="str">
        <f t="shared" si="2"/>
        <v>KAL1-A-1174-AP</v>
      </c>
      <c r="H433" s="78" t="s">
        <v>230</v>
      </c>
      <c r="I433" s="78" t="s">
        <v>294</v>
      </c>
      <c r="J433" s="78" t="s">
        <v>301</v>
      </c>
      <c r="K433" s="184">
        <v>134.0</v>
      </c>
      <c r="L433" s="137">
        <v>690000.0</v>
      </c>
      <c r="M433" s="78" t="s">
        <v>296</v>
      </c>
      <c r="N433" s="137">
        <v>3.0</v>
      </c>
      <c r="O433" s="185">
        <v>2.0</v>
      </c>
      <c r="P433" s="167" t="s">
        <v>412</v>
      </c>
      <c r="Q433" s="183"/>
      <c r="R433" s="78" t="s">
        <v>307</v>
      </c>
      <c r="S433" s="189">
        <v>17.0</v>
      </c>
      <c r="T433" s="80"/>
      <c r="U433" s="168"/>
      <c r="V433" s="187"/>
      <c r="W433" s="130"/>
      <c r="X433" s="188" t="s">
        <v>231</v>
      </c>
      <c r="Y433" s="78" t="s">
        <v>86</v>
      </c>
      <c r="Z433" s="78" t="s">
        <v>87</v>
      </c>
      <c r="AA433" s="167" t="s">
        <v>233</v>
      </c>
      <c r="AB433" s="79" t="s">
        <v>416</v>
      </c>
      <c r="AC433" s="130"/>
      <c r="AD433" s="130"/>
    </row>
    <row r="434">
      <c r="A434" s="78">
        <v>34.0</v>
      </c>
      <c r="B434" s="57" t="s">
        <v>228</v>
      </c>
      <c r="C434" s="78" t="s">
        <v>229</v>
      </c>
      <c r="D434" s="80"/>
      <c r="E434" s="137">
        <v>1175.0</v>
      </c>
      <c r="F434" s="9" t="str">
        <f t="shared" si="5"/>
        <v>AP</v>
      </c>
      <c r="G434" s="78" t="str">
        <f t="shared" si="2"/>
        <v>KAL1-A-1175-AP</v>
      </c>
      <c r="H434" s="78" t="s">
        <v>230</v>
      </c>
      <c r="I434" s="78" t="s">
        <v>294</v>
      </c>
      <c r="J434" s="78" t="s">
        <v>301</v>
      </c>
      <c r="K434" s="184">
        <v>102.0</v>
      </c>
      <c r="L434" s="137">
        <v>560000.0</v>
      </c>
      <c r="M434" s="78" t="s">
        <v>296</v>
      </c>
      <c r="N434" s="137">
        <v>2.0</v>
      </c>
      <c r="O434" s="185">
        <v>2.0</v>
      </c>
      <c r="P434" s="167" t="s">
        <v>412</v>
      </c>
      <c r="Q434" s="183"/>
      <c r="R434" s="78" t="s">
        <v>307</v>
      </c>
      <c r="S434" s="189">
        <v>17.0</v>
      </c>
      <c r="T434" s="80"/>
      <c r="U434" s="168"/>
      <c r="V434" s="187"/>
      <c r="W434" s="130"/>
      <c r="X434" s="188" t="s">
        <v>231</v>
      </c>
      <c r="Y434" s="78" t="s">
        <v>86</v>
      </c>
      <c r="Z434" s="78" t="s">
        <v>87</v>
      </c>
      <c r="AA434" s="167" t="s">
        <v>233</v>
      </c>
      <c r="AB434" s="79" t="s">
        <v>416</v>
      </c>
      <c r="AC434" s="130"/>
      <c r="AD434" s="130"/>
    </row>
    <row r="435">
      <c r="A435" s="78">
        <v>34.0</v>
      </c>
      <c r="B435" s="57" t="s">
        <v>228</v>
      </c>
      <c r="C435" s="78" t="s">
        <v>229</v>
      </c>
      <c r="D435" s="80"/>
      <c r="E435" s="137">
        <v>1176.0</v>
      </c>
      <c r="F435" s="9" t="str">
        <f t="shared" si="5"/>
        <v>AP</v>
      </c>
      <c r="G435" s="78" t="str">
        <f t="shared" si="2"/>
        <v>KAL1-A-1176-AP</v>
      </c>
      <c r="H435" s="78" t="s">
        <v>230</v>
      </c>
      <c r="I435" s="78" t="s">
        <v>294</v>
      </c>
      <c r="J435" s="78" t="s">
        <v>301</v>
      </c>
      <c r="K435" s="184">
        <v>102.0</v>
      </c>
      <c r="L435" s="137">
        <v>580000.0</v>
      </c>
      <c r="M435" s="78" t="s">
        <v>296</v>
      </c>
      <c r="N435" s="137">
        <v>2.0</v>
      </c>
      <c r="O435" s="185">
        <v>2.0</v>
      </c>
      <c r="P435" s="167" t="s">
        <v>412</v>
      </c>
      <c r="Q435" s="183"/>
      <c r="R435" s="78" t="s">
        <v>307</v>
      </c>
      <c r="S435" s="189">
        <v>17.0</v>
      </c>
      <c r="T435" s="80"/>
      <c r="U435" s="168"/>
      <c r="V435" s="187"/>
      <c r="W435" s="130"/>
      <c r="X435" s="188" t="s">
        <v>231</v>
      </c>
      <c r="Y435" s="78" t="s">
        <v>86</v>
      </c>
      <c r="Z435" s="78" t="s">
        <v>87</v>
      </c>
      <c r="AA435" s="167" t="s">
        <v>233</v>
      </c>
      <c r="AB435" s="79" t="s">
        <v>416</v>
      </c>
      <c r="AC435" s="130"/>
      <c r="AD435" s="130"/>
    </row>
    <row r="436">
      <c r="A436" s="78">
        <v>34.0</v>
      </c>
      <c r="B436" s="57" t="s">
        <v>228</v>
      </c>
      <c r="C436" s="78" t="s">
        <v>229</v>
      </c>
      <c r="D436" s="80"/>
      <c r="E436" s="137">
        <v>1177.0</v>
      </c>
      <c r="F436" s="9" t="str">
        <f t="shared" si="5"/>
        <v>AP</v>
      </c>
      <c r="G436" s="78" t="str">
        <f t="shared" si="2"/>
        <v>KAL1-A-1177-AP</v>
      </c>
      <c r="H436" s="78" t="s">
        <v>230</v>
      </c>
      <c r="I436" s="78" t="s">
        <v>294</v>
      </c>
      <c r="J436" s="78" t="s">
        <v>301</v>
      </c>
      <c r="K436" s="184">
        <v>133.0</v>
      </c>
      <c r="L436" s="137">
        <v>765000.0</v>
      </c>
      <c r="M436" s="78" t="s">
        <v>296</v>
      </c>
      <c r="N436" s="137">
        <v>3.0</v>
      </c>
      <c r="O436" s="185">
        <v>2.0</v>
      </c>
      <c r="P436" s="167" t="s">
        <v>412</v>
      </c>
      <c r="Q436" s="183"/>
      <c r="R436" s="78" t="s">
        <v>307</v>
      </c>
      <c r="S436" s="189">
        <v>17.0</v>
      </c>
      <c r="T436" s="80"/>
      <c r="U436" s="168"/>
      <c r="V436" s="187"/>
      <c r="W436" s="130"/>
      <c r="X436" s="188" t="s">
        <v>231</v>
      </c>
      <c r="Y436" s="78" t="s">
        <v>86</v>
      </c>
      <c r="Z436" s="78" t="s">
        <v>87</v>
      </c>
      <c r="AA436" s="167" t="s">
        <v>233</v>
      </c>
      <c r="AB436" s="79" t="s">
        <v>413</v>
      </c>
      <c r="AC436" s="130"/>
      <c r="AD436" s="130"/>
    </row>
    <row r="437">
      <c r="A437" s="78">
        <v>34.0</v>
      </c>
      <c r="B437" s="57" t="s">
        <v>228</v>
      </c>
      <c r="C437" s="78" t="s">
        <v>229</v>
      </c>
      <c r="D437" s="80"/>
      <c r="E437" s="137">
        <v>1178.0</v>
      </c>
      <c r="F437" s="9" t="str">
        <f t="shared" si="5"/>
        <v>AP</v>
      </c>
      <c r="G437" s="78" t="str">
        <f t="shared" si="2"/>
        <v>KAL1-A-1178-AP</v>
      </c>
      <c r="H437" s="78" t="s">
        <v>230</v>
      </c>
      <c r="I437" s="78" t="s">
        <v>294</v>
      </c>
      <c r="J437" s="78" t="s">
        <v>301</v>
      </c>
      <c r="K437" s="184">
        <v>135.0</v>
      </c>
      <c r="L437" s="137">
        <v>745000.0</v>
      </c>
      <c r="M437" s="78" t="s">
        <v>296</v>
      </c>
      <c r="N437" s="137">
        <v>3.0</v>
      </c>
      <c r="O437" s="185">
        <v>2.0</v>
      </c>
      <c r="P437" s="167" t="s">
        <v>412</v>
      </c>
      <c r="Q437" s="183"/>
      <c r="R437" s="78" t="s">
        <v>307</v>
      </c>
      <c r="S437" s="189">
        <v>17.0</v>
      </c>
      <c r="T437" s="80"/>
      <c r="U437" s="168"/>
      <c r="V437" s="187"/>
      <c r="W437" s="130"/>
      <c r="X437" s="188" t="s">
        <v>231</v>
      </c>
      <c r="Y437" s="78" t="s">
        <v>86</v>
      </c>
      <c r="Z437" s="78" t="s">
        <v>87</v>
      </c>
      <c r="AA437" s="167" t="s">
        <v>233</v>
      </c>
      <c r="AB437" s="79" t="s">
        <v>413</v>
      </c>
      <c r="AC437" s="130"/>
      <c r="AD437" s="130"/>
    </row>
    <row r="438">
      <c r="A438" s="78">
        <v>34.0</v>
      </c>
      <c r="B438" s="57" t="s">
        <v>228</v>
      </c>
      <c r="C438" s="78" t="s">
        <v>229</v>
      </c>
      <c r="D438" s="80"/>
      <c r="E438" s="137">
        <v>1181.0</v>
      </c>
      <c r="F438" s="9" t="str">
        <f t="shared" si="5"/>
        <v>AP</v>
      </c>
      <c r="G438" s="78" t="str">
        <f t="shared" si="2"/>
        <v>KAL1-A-1181-AP</v>
      </c>
      <c r="H438" s="78" t="s">
        <v>230</v>
      </c>
      <c r="I438" s="78" t="s">
        <v>294</v>
      </c>
      <c r="J438" s="78" t="s">
        <v>301</v>
      </c>
      <c r="K438" s="184">
        <v>88.0</v>
      </c>
      <c r="L438" s="137">
        <v>540000.0</v>
      </c>
      <c r="M438" s="78" t="s">
        <v>296</v>
      </c>
      <c r="N438" s="137">
        <v>2.0</v>
      </c>
      <c r="O438" s="185">
        <v>2.0</v>
      </c>
      <c r="P438" s="167" t="s">
        <v>412</v>
      </c>
      <c r="Q438" s="183"/>
      <c r="R438" s="78" t="s">
        <v>307</v>
      </c>
      <c r="S438" s="189">
        <v>18.0</v>
      </c>
      <c r="T438" s="80"/>
      <c r="U438" s="168"/>
      <c r="V438" s="187"/>
      <c r="W438" s="130"/>
      <c r="X438" s="188" t="s">
        <v>231</v>
      </c>
      <c r="Y438" s="78" t="s">
        <v>86</v>
      </c>
      <c r="Z438" s="78" t="s">
        <v>87</v>
      </c>
      <c r="AA438" s="167" t="s">
        <v>233</v>
      </c>
      <c r="AB438" s="79" t="s">
        <v>413</v>
      </c>
      <c r="AC438" s="130"/>
      <c r="AD438" s="130"/>
    </row>
    <row r="439">
      <c r="A439" s="78">
        <v>34.0</v>
      </c>
      <c r="B439" s="57" t="s">
        <v>228</v>
      </c>
      <c r="C439" s="78" t="s">
        <v>229</v>
      </c>
      <c r="D439" s="80"/>
      <c r="E439" s="137">
        <v>1182.0</v>
      </c>
      <c r="F439" s="9" t="str">
        <f t="shared" si="5"/>
        <v>AP</v>
      </c>
      <c r="G439" s="78" t="str">
        <f t="shared" si="2"/>
        <v>KAL1-A-1182-AP</v>
      </c>
      <c r="H439" s="78" t="s">
        <v>230</v>
      </c>
      <c r="I439" s="78" t="s">
        <v>294</v>
      </c>
      <c r="J439" s="78" t="s">
        <v>301</v>
      </c>
      <c r="K439" s="184">
        <v>68.0</v>
      </c>
      <c r="L439" s="137">
        <v>490000.0</v>
      </c>
      <c r="M439" s="78" t="s">
        <v>296</v>
      </c>
      <c r="N439" s="137">
        <v>1.0</v>
      </c>
      <c r="O439" s="185">
        <v>1.0</v>
      </c>
      <c r="P439" s="167" t="s">
        <v>415</v>
      </c>
      <c r="Q439" s="183"/>
      <c r="R439" s="78" t="s">
        <v>307</v>
      </c>
      <c r="S439" s="189">
        <v>18.0</v>
      </c>
      <c r="T439" s="80"/>
      <c r="U439" s="168"/>
      <c r="V439" s="187"/>
      <c r="W439" s="130"/>
      <c r="X439" s="188" t="s">
        <v>231</v>
      </c>
      <c r="Y439" s="78" t="s">
        <v>86</v>
      </c>
      <c r="Z439" s="78" t="s">
        <v>87</v>
      </c>
      <c r="AA439" s="167" t="s">
        <v>233</v>
      </c>
      <c r="AB439" s="79" t="s">
        <v>413</v>
      </c>
      <c r="AC439" s="130"/>
      <c r="AD439" s="130"/>
    </row>
    <row r="440">
      <c r="A440" s="78">
        <v>34.0</v>
      </c>
      <c r="B440" s="57" t="s">
        <v>228</v>
      </c>
      <c r="C440" s="78" t="s">
        <v>229</v>
      </c>
      <c r="D440" s="80"/>
      <c r="E440" s="137">
        <v>1183.0</v>
      </c>
      <c r="F440" s="9" t="str">
        <f t="shared" si="5"/>
        <v>AP</v>
      </c>
      <c r="G440" s="78" t="str">
        <f t="shared" si="2"/>
        <v>KAL1-A-1183-AP</v>
      </c>
      <c r="H440" s="78" t="s">
        <v>230</v>
      </c>
      <c r="I440" s="78" t="s">
        <v>294</v>
      </c>
      <c r="J440" s="78" t="s">
        <v>301</v>
      </c>
      <c r="K440" s="184">
        <v>109.0</v>
      </c>
      <c r="L440" s="137">
        <v>615000.0</v>
      </c>
      <c r="M440" s="78" t="s">
        <v>296</v>
      </c>
      <c r="N440" s="137">
        <v>2.0</v>
      </c>
      <c r="O440" s="185">
        <v>2.0</v>
      </c>
      <c r="P440" s="167" t="s">
        <v>412</v>
      </c>
      <c r="Q440" s="183"/>
      <c r="R440" s="78" t="s">
        <v>307</v>
      </c>
      <c r="S440" s="189">
        <v>18.0</v>
      </c>
      <c r="T440" s="80"/>
      <c r="U440" s="168"/>
      <c r="V440" s="187"/>
      <c r="W440" s="130"/>
      <c r="X440" s="188" t="s">
        <v>231</v>
      </c>
      <c r="Y440" s="78" t="s">
        <v>86</v>
      </c>
      <c r="Z440" s="78" t="s">
        <v>87</v>
      </c>
      <c r="AA440" s="167" t="s">
        <v>233</v>
      </c>
      <c r="AB440" s="79" t="s">
        <v>413</v>
      </c>
      <c r="AC440" s="130"/>
      <c r="AD440" s="130"/>
    </row>
    <row r="441">
      <c r="A441" s="78">
        <v>34.0</v>
      </c>
      <c r="B441" s="57" t="s">
        <v>228</v>
      </c>
      <c r="C441" s="78" t="s">
        <v>229</v>
      </c>
      <c r="D441" s="80"/>
      <c r="E441" s="137">
        <v>1184.0</v>
      </c>
      <c r="F441" s="9" t="str">
        <f t="shared" si="5"/>
        <v>AP</v>
      </c>
      <c r="G441" s="78" t="str">
        <f t="shared" si="2"/>
        <v>KAL1-A-1184-AP</v>
      </c>
      <c r="H441" s="78" t="s">
        <v>230</v>
      </c>
      <c r="I441" s="78" t="s">
        <v>294</v>
      </c>
      <c r="J441" s="78" t="s">
        <v>301</v>
      </c>
      <c r="K441" s="184">
        <v>134.0</v>
      </c>
      <c r="L441" s="137">
        <v>715000.0</v>
      </c>
      <c r="M441" s="78" t="s">
        <v>296</v>
      </c>
      <c r="N441" s="137">
        <v>3.0</v>
      </c>
      <c r="O441" s="185">
        <v>2.0</v>
      </c>
      <c r="P441" s="167" t="s">
        <v>412</v>
      </c>
      <c r="Q441" s="183"/>
      <c r="R441" s="78" t="s">
        <v>307</v>
      </c>
      <c r="S441" s="189">
        <v>18.0</v>
      </c>
      <c r="T441" s="80"/>
      <c r="U441" s="168"/>
      <c r="V441" s="187"/>
      <c r="W441" s="130"/>
      <c r="X441" s="188" t="s">
        <v>231</v>
      </c>
      <c r="Y441" s="78" t="s">
        <v>86</v>
      </c>
      <c r="Z441" s="78" t="s">
        <v>87</v>
      </c>
      <c r="AA441" s="167" t="s">
        <v>233</v>
      </c>
      <c r="AB441" s="79" t="s">
        <v>416</v>
      </c>
      <c r="AC441" s="130"/>
      <c r="AD441" s="130"/>
    </row>
    <row r="442">
      <c r="A442" s="78">
        <v>34.0</v>
      </c>
      <c r="B442" s="57" t="s">
        <v>228</v>
      </c>
      <c r="C442" s="78" t="s">
        <v>229</v>
      </c>
      <c r="D442" s="80"/>
      <c r="E442" s="137">
        <v>1185.0</v>
      </c>
      <c r="F442" s="9" t="str">
        <f t="shared" si="5"/>
        <v>AP</v>
      </c>
      <c r="G442" s="78" t="str">
        <f t="shared" si="2"/>
        <v>KAL1-A-1185-AP</v>
      </c>
      <c r="H442" s="78" t="s">
        <v>230</v>
      </c>
      <c r="I442" s="78" t="s">
        <v>294</v>
      </c>
      <c r="J442" s="78" t="s">
        <v>301</v>
      </c>
      <c r="K442" s="184">
        <v>102.0</v>
      </c>
      <c r="L442" s="137">
        <v>560000.0</v>
      </c>
      <c r="M442" s="78" t="s">
        <v>296</v>
      </c>
      <c r="N442" s="137">
        <v>2.0</v>
      </c>
      <c r="O442" s="185">
        <v>2.0</v>
      </c>
      <c r="P442" s="167" t="s">
        <v>412</v>
      </c>
      <c r="Q442" s="183"/>
      <c r="R442" s="78" t="s">
        <v>307</v>
      </c>
      <c r="S442" s="189">
        <v>18.0</v>
      </c>
      <c r="T442" s="80"/>
      <c r="U442" s="168"/>
      <c r="V442" s="187"/>
      <c r="W442" s="130"/>
      <c r="X442" s="188" t="s">
        <v>231</v>
      </c>
      <c r="Y442" s="78" t="s">
        <v>86</v>
      </c>
      <c r="Z442" s="78" t="s">
        <v>87</v>
      </c>
      <c r="AA442" s="167" t="s">
        <v>233</v>
      </c>
      <c r="AB442" s="79" t="s">
        <v>416</v>
      </c>
      <c r="AC442" s="130"/>
      <c r="AD442" s="130"/>
    </row>
    <row r="443">
      <c r="A443" s="78">
        <v>34.0</v>
      </c>
      <c r="B443" s="57" t="s">
        <v>228</v>
      </c>
      <c r="C443" s="78" t="s">
        <v>229</v>
      </c>
      <c r="D443" s="80"/>
      <c r="E443" s="137">
        <v>1186.0</v>
      </c>
      <c r="F443" s="9" t="str">
        <f t="shared" si="5"/>
        <v>AP</v>
      </c>
      <c r="G443" s="78" t="str">
        <f t="shared" si="2"/>
        <v>KAL1-A-1186-AP</v>
      </c>
      <c r="H443" s="78" t="s">
        <v>230</v>
      </c>
      <c r="I443" s="78" t="s">
        <v>294</v>
      </c>
      <c r="J443" s="78" t="s">
        <v>301</v>
      </c>
      <c r="K443" s="184">
        <v>102.0</v>
      </c>
      <c r="L443" s="137">
        <v>570000.0</v>
      </c>
      <c r="M443" s="78" t="s">
        <v>296</v>
      </c>
      <c r="N443" s="137">
        <v>2.0</v>
      </c>
      <c r="O443" s="185">
        <v>2.0</v>
      </c>
      <c r="P443" s="167" t="s">
        <v>412</v>
      </c>
      <c r="Q443" s="183"/>
      <c r="R443" s="78" t="s">
        <v>307</v>
      </c>
      <c r="S443" s="189">
        <v>18.0</v>
      </c>
      <c r="T443" s="80"/>
      <c r="U443" s="168"/>
      <c r="V443" s="187"/>
      <c r="W443" s="130"/>
      <c r="X443" s="188" t="s">
        <v>231</v>
      </c>
      <c r="Y443" s="78" t="s">
        <v>86</v>
      </c>
      <c r="Z443" s="78" t="s">
        <v>87</v>
      </c>
      <c r="AA443" s="167" t="s">
        <v>233</v>
      </c>
      <c r="AB443" s="79" t="s">
        <v>416</v>
      </c>
      <c r="AC443" s="130"/>
      <c r="AD443" s="130"/>
    </row>
    <row r="444">
      <c r="A444" s="78">
        <v>34.0</v>
      </c>
      <c r="B444" s="57" t="s">
        <v>228</v>
      </c>
      <c r="C444" s="78" t="s">
        <v>229</v>
      </c>
      <c r="D444" s="80"/>
      <c r="E444" s="137">
        <v>1187.0</v>
      </c>
      <c r="F444" s="9" t="str">
        <f t="shared" si="5"/>
        <v>AP</v>
      </c>
      <c r="G444" s="78" t="str">
        <f t="shared" si="2"/>
        <v>KAL1-A-1187-AP</v>
      </c>
      <c r="H444" s="78" t="s">
        <v>230</v>
      </c>
      <c r="I444" s="78" t="s">
        <v>294</v>
      </c>
      <c r="J444" s="78" t="s">
        <v>301</v>
      </c>
      <c r="K444" s="184">
        <v>133.0</v>
      </c>
      <c r="L444" s="137">
        <v>770000.0</v>
      </c>
      <c r="M444" s="78" t="s">
        <v>296</v>
      </c>
      <c r="N444" s="137">
        <v>3.0</v>
      </c>
      <c r="O444" s="185">
        <v>2.0</v>
      </c>
      <c r="P444" s="167" t="s">
        <v>412</v>
      </c>
      <c r="Q444" s="183"/>
      <c r="R444" s="78" t="s">
        <v>307</v>
      </c>
      <c r="S444" s="189">
        <v>18.0</v>
      </c>
      <c r="T444" s="80"/>
      <c r="U444" s="168"/>
      <c r="V444" s="187"/>
      <c r="W444" s="130"/>
      <c r="X444" s="188" t="s">
        <v>231</v>
      </c>
      <c r="Y444" s="78" t="s">
        <v>86</v>
      </c>
      <c r="Z444" s="78" t="s">
        <v>87</v>
      </c>
      <c r="AA444" s="167" t="s">
        <v>233</v>
      </c>
      <c r="AB444" s="79" t="s">
        <v>413</v>
      </c>
      <c r="AC444" s="130"/>
      <c r="AD444" s="130"/>
    </row>
    <row r="445">
      <c r="A445" s="78">
        <v>34.0</v>
      </c>
      <c r="B445" s="57" t="s">
        <v>228</v>
      </c>
      <c r="C445" s="78" t="s">
        <v>229</v>
      </c>
      <c r="D445" s="80"/>
      <c r="E445" s="137">
        <v>1188.0</v>
      </c>
      <c r="F445" s="9" t="str">
        <f t="shared" si="5"/>
        <v>AP</v>
      </c>
      <c r="G445" s="78" t="str">
        <f t="shared" si="2"/>
        <v>KAL1-A-1188-AP</v>
      </c>
      <c r="H445" s="78" t="s">
        <v>230</v>
      </c>
      <c r="I445" s="78" t="s">
        <v>294</v>
      </c>
      <c r="J445" s="78" t="s">
        <v>301</v>
      </c>
      <c r="K445" s="184">
        <v>135.0</v>
      </c>
      <c r="L445" s="137">
        <v>745000.0</v>
      </c>
      <c r="M445" s="78" t="s">
        <v>296</v>
      </c>
      <c r="N445" s="137">
        <v>3.0</v>
      </c>
      <c r="O445" s="185">
        <v>2.0</v>
      </c>
      <c r="P445" s="167" t="s">
        <v>412</v>
      </c>
      <c r="Q445" s="183"/>
      <c r="R445" s="78" t="s">
        <v>307</v>
      </c>
      <c r="S445" s="189">
        <v>18.0</v>
      </c>
      <c r="T445" s="80"/>
      <c r="U445" s="168"/>
      <c r="V445" s="187"/>
      <c r="W445" s="130"/>
      <c r="X445" s="188" t="s">
        <v>231</v>
      </c>
      <c r="Y445" s="78" t="s">
        <v>86</v>
      </c>
      <c r="Z445" s="78" t="s">
        <v>87</v>
      </c>
      <c r="AA445" s="167" t="s">
        <v>233</v>
      </c>
      <c r="AB445" s="79" t="s">
        <v>413</v>
      </c>
      <c r="AC445" s="130"/>
      <c r="AD445" s="130"/>
    </row>
    <row r="446">
      <c r="A446" s="78">
        <v>34.0</v>
      </c>
      <c r="B446" s="57" t="s">
        <v>228</v>
      </c>
      <c r="C446" s="78" t="s">
        <v>229</v>
      </c>
      <c r="D446" s="80"/>
      <c r="E446" s="137">
        <v>1191.0</v>
      </c>
      <c r="F446" s="9" t="str">
        <f t="shared" si="5"/>
        <v>AP</v>
      </c>
      <c r="G446" s="78" t="str">
        <f t="shared" si="2"/>
        <v>KAL1-A-1191-AP</v>
      </c>
      <c r="H446" s="78" t="s">
        <v>230</v>
      </c>
      <c r="I446" s="78" t="s">
        <v>294</v>
      </c>
      <c r="J446" s="78" t="s">
        <v>301</v>
      </c>
      <c r="K446" s="184">
        <v>88.0</v>
      </c>
      <c r="L446" s="137">
        <v>535000.0</v>
      </c>
      <c r="M446" s="78" t="s">
        <v>296</v>
      </c>
      <c r="N446" s="137">
        <v>2.0</v>
      </c>
      <c r="O446" s="185">
        <v>2.0</v>
      </c>
      <c r="P446" s="167" t="s">
        <v>412</v>
      </c>
      <c r="Q446" s="183"/>
      <c r="R446" s="78" t="s">
        <v>307</v>
      </c>
      <c r="S446" s="189">
        <v>19.0</v>
      </c>
      <c r="T446" s="80"/>
      <c r="U446" s="168"/>
      <c r="V446" s="187"/>
      <c r="W446" s="130"/>
      <c r="X446" s="188" t="s">
        <v>231</v>
      </c>
      <c r="Y446" s="78" t="s">
        <v>86</v>
      </c>
      <c r="Z446" s="78" t="s">
        <v>87</v>
      </c>
      <c r="AA446" s="167" t="s">
        <v>233</v>
      </c>
      <c r="AB446" s="79" t="s">
        <v>413</v>
      </c>
      <c r="AC446" s="130"/>
      <c r="AD446" s="130"/>
    </row>
    <row r="447">
      <c r="A447" s="78">
        <v>34.0</v>
      </c>
      <c r="B447" s="57" t="s">
        <v>228</v>
      </c>
      <c r="C447" s="78" t="s">
        <v>229</v>
      </c>
      <c r="D447" s="80"/>
      <c r="E447" s="137">
        <v>1192.0</v>
      </c>
      <c r="F447" s="9" t="str">
        <f t="shared" si="5"/>
        <v>AP</v>
      </c>
      <c r="G447" s="78" t="str">
        <f t="shared" si="2"/>
        <v>KAL1-A-1192-AP</v>
      </c>
      <c r="H447" s="78" t="s">
        <v>230</v>
      </c>
      <c r="I447" s="78" t="s">
        <v>294</v>
      </c>
      <c r="J447" s="78" t="s">
        <v>301</v>
      </c>
      <c r="K447" s="184">
        <v>68.0</v>
      </c>
      <c r="L447" s="137">
        <v>480000.0</v>
      </c>
      <c r="M447" s="78" t="s">
        <v>296</v>
      </c>
      <c r="N447" s="137">
        <v>1.0</v>
      </c>
      <c r="O447" s="185">
        <v>1.0</v>
      </c>
      <c r="P447" s="167" t="s">
        <v>415</v>
      </c>
      <c r="Q447" s="183"/>
      <c r="R447" s="78" t="s">
        <v>307</v>
      </c>
      <c r="S447" s="189">
        <v>19.0</v>
      </c>
      <c r="T447" s="80"/>
      <c r="U447" s="168"/>
      <c r="V447" s="187"/>
      <c r="W447" s="130"/>
      <c r="X447" s="188" t="s">
        <v>231</v>
      </c>
      <c r="Y447" s="78" t="s">
        <v>86</v>
      </c>
      <c r="Z447" s="78" t="s">
        <v>87</v>
      </c>
      <c r="AA447" s="167" t="s">
        <v>233</v>
      </c>
      <c r="AB447" s="79" t="s">
        <v>413</v>
      </c>
      <c r="AC447" s="130"/>
      <c r="AD447" s="130"/>
    </row>
    <row r="448">
      <c r="A448" s="78">
        <v>34.0</v>
      </c>
      <c r="B448" s="57" t="s">
        <v>228</v>
      </c>
      <c r="C448" s="78" t="s">
        <v>229</v>
      </c>
      <c r="D448" s="80"/>
      <c r="E448" s="137">
        <v>1193.0</v>
      </c>
      <c r="F448" s="9" t="str">
        <f t="shared" si="5"/>
        <v>AP</v>
      </c>
      <c r="G448" s="78" t="str">
        <f t="shared" si="2"/>
        <v>KAL1-A-1193-AP</v>
      </c>
      <c r="H448" s="78" t="s">
        <v>230</v>
      </c>
      <c r="I448" s="78" t="s">
        <v>294</v>
      </c>
      <c r="J448" s="78" t="s">
        <v>301</v>
      </c>
      <c r="K448" s="184">
        <v>109.0</v>
      </c>
      <c r="L448" s="137">
        <v>615000.0</v>
      </c>
      <c r="M448" s="78" t="s">
        <v>296</v>
      </c>
      <c r="N448" s="137">
        <v>2.0</v>
      </c>
      <c r="O448" s="185">
        <v>2.0</v>
      </c>
      <c r="P448" s="167" t="s">
        <v>412</v>
      </c>
      <c r="Q448" s="183"/>
      <c r="R448" s="78" t="s">
        <v>307</v>
      </c>
      <c r="S448" s="189">
        <v>19.0</v>
      </c>
      <c r="T448" s="80"/>
      <c r="U448" s="168"/>
      <c r="V448" s="187"/>
      <c r="W448" s="130"/>
      <c r="X448" s="188" t="s">
        <v>231</v>
      </c>
      <c r="Y448" s="78" t="s">
        <v>86</v>
      </c>
      <c r="Z448" s="78" t="s">
        <v>87</v>
      </c>
      <c r="AA448" s="167" t="s">
        <v>233</v>
      </c>
      <c r="AB448" s="79" t="s">
        <v>413</v>
      </c>
      <c r="AC448" s="130"/>
      <c r="AD448" s="130"/>
    </row>
    <row r="449">
      <c r="A449" s="78">
        <v>34.0</v>
      </c>
      <c r="B449" s="57" t="s">
        <v>228</v>
      </c>
      <c r="C449" s="78" t="s">
        <v>229</v>
      </c>
      <c r="D449" s="80"/>
      <c r="E449" s="137">
        <v>1194.0</v>
      </c>
      <c r="F449" s="9" t="str">
        <f t="shared" si="5"/>
        <v>AP</v>
      </c>
      <c r="G449" s="78" t="str">
        <f t="shared" si="2"/>
        <v>KAL1-A-1194-AP</v>
      </c>
      <c r="H449" s="78" t="s">
        <v>230</v>
      </c>
      <c r="I449" s="78" t="s">
        <v>294</v>
      </c>
      <c r="J449" s="78" t="s">
        <v>301</v>
      </c>
      <c r="K449" s="184">
        <v>134.0</v>
      </c>
      <c r="L449" s="137">
        <v>720000.0</v>
      </c>
      <c r="M449" s="78" t="s">
        <v>296</v>
      </c>
      <c r="N449" s="137">
        <v>3.0</v>
      </c>
      <c r="O449" s="185">
        <v>2.0</v>
      </c>
      <c r="P449" s="167" t="s">
        <v>412</v>
      </c>
      <c r="Q449" s="183"/>
      <c r="R449" s="78" t="s">
        <v>307</v>
      </c>
      <c r="S449" s="189">
        <v>19.0</v>
      </c>
      <c r="T449" s="80"/>
      <c r="U449" s="168"/>
      <c r="V449" s="187"/>
      <c r="W449" s="130"/>
      <c r="X449" s="188" t="s">
        <v>231</v>
      </c>
      <c r="Y449" s="78" t="s">
        <v>86</v>
      </c>
      <c r="Z449" s="78" t="s">
        <v>87</v>
      </c>
      <c r="AA449" s="167" t="s">
        <v>233</v>
      </c>
      <c r="AB449" s="79" t="s">
        <v>416</v>
      </c>
      <c r="AC449" s="130"/>
      <c r="AD449" s="130"/>
    </row>
    <row r="450">
      <c r="A450" s="78">
        <v>34.0</v>
      </c>
      <c r="B450" s="57" t="s">
        <v>228</v>
      </c>
      <c r="C450" s="78" t="s">
        <v>229</v>
      </c>
      <c r="D450" s="80"/>
      <c r="E450" s="137">
        <v>1195.0</v>
      </c>
      <c r="F450" s="9" t="str">
        <f t="shared" si="5"/>
        <v>AP</v>
      </c>
      <c r="G450" s="78" t="str">
        <f t="shared" si="2"/>
        <v>KAL1-A-1195-AP</v>
      </c>
      <c r="H450" s="78" t="s">
        <v>230</v>
      </c>
      <c r="I450" s="78" t="s">
        <v>294</v>
      </c>
      <c r="J450" s="78" t="s">
        <v>301</v>
      </c>
      <c r="K450" s="184">
        <v>102.0</v>
      </c>
      <c r="L450" s="137">
        <v>560000.0</v>
      </c>
      <c r="M450" s="78" t="s">
        <v>296</v>
      </c>
      <c r="N450" s="137">
        <v>2.0</v>
      </c>
      <c r="O450" s="185">
        <v>2.0</v>
      </c>
      <c r="P450" s="167" t="s">
        <v>412</v>
      </c>
      <c r="Q450" s="183"/>
      <c r="R450" s="78" t="s">
        <v>307</v>
      </c>
      <c r="S450" s="189">
        <v>19.0</v>
      </c>
      <c r="T450" s="80"/>
      <c r="U450" s="168"/>
      <c r="V450" s="187"/>
      <c r="W450" s="130"/>
      <c r="X450" s="188" t="s">
        <v>231</v>
      </c>
      <c r="Y450" s="78" t="s">
        <v>86</v>
      </c>
      <c r="Z450" s="78" t="s">
        <v>87</v>
      </c>
      <c r="AA450" s="167" t="s">
        <v>233</v>
      </c>
      <c r="AB450" s="79" t="s">
        <v>416</v>
      </c>
      <c r="AC450" s="130"/>
      <c r="AD450" s="130"/>
    </row>
    <row r="451">
      <c r="A451" s="78">
        <v>34.0</v>
      </c>
      <c r="B451" s="57" t="s">
        <v>228</v>
      </c>
      <c r="C451" s="78" t="s">
        <v>229</v>
      </c>
      <c r="D451" s="80"/>
      <c r="E451" s="137">
        <v>1196.0</v>
      </c>
      <c r="F451" s="9" t="str">
        <f t="shared" si="5"/>
        <v>AP</v>
      </c>
      <c r="G451" s="78" t="str">
        <f t="shared" si="2"/>
        <v>KAL1-A-1196-AP</v>
      </c>
      <c r="H451" s="78" t="s">
        <v>230</v>
      </c>
      <c r="I451" s="78" t="s">
        <v>294</v>
      </c>
      <c r="J451" s="78" t="s">
        <v>301</v>
      </c>
      <c r="K451" s="184">
        <v>102.0</v>
      </c>
      <c r="L451" s="137">
        <v>570000.0</v>
      </c>
      <c r="M451" s="78" t="s">
        <v>296</v>
      </c>
      <c r="N451" s="137">
        <v>2.0</v>
      </c>
      <c r="O451" s="185">
        <v>2.0</v>
      </c>
      <c r="P451" s="167" t="s">
        <v>412</v>
      </c>
      <c r="Q451" s="183"/>
      <c r="R451" s="78" t="s">
        <v>307</v>
      </c>
      <c r="S451" s="189">
        <v>19.0</v>
      </c>
      <c r="T451" s="80"/>
      <c r="U451" s="168"/>
      <c r="V451" s="187"/>
      <c r="W451" s="130"/>
      <c r="X451" s="188" t="s">
        <v>231</v>
      </c>
      <c r="Y451" s="78" t="s">
        <v>86</v>
      </c>
      <c r="Z451" s="78" t="s">
        <v>87</v>
      </c>
      <c r="AA451" s="167" t="s">
        <v>233</v>
      </c>
      <c r="AB451" s="79" t="s">
        <v>416</v>
      </c>
      <c r="AC451" s="130"/>
      <c r="AD451" s="130"/>
    </row>
    <row r="452">
      <c r="A452" s="78">
        <v>34.0</v>
      </c>
      <c r="B452" s="57" t="s">
        <v>228</v>
      </c>
      <c r="C452" s="78" t="s">
        <v>229</v>
      </c>
      <c r="D452" s="80"/>
      <c r="E452" s="137">
        <v>1197.0</v>
      </c>
      <c r="F452" s="9" t="str">
        <f t="shared" si="5"/>
        <v>AP</v>
      </c>
      <c r="G452" s="78" t="str">
        <f t="shared" si="2"/>
        <v>KAL1-A-1197-AP</v>
      </c>
      <c r="H452" s="78" t="s">
        <v>230</v>
      </c>
      <c r="I452" s="78" t="s">
        <v>294</v>
      </c>
      <c r="J452" s="78" t="s">
        <v>301</v>
      </c>
      <c r="K452" s="184">
        <v>133.0</v>
      </c>
      <c r="L452" s="137">
        <v>770000.0</v>
      </c>
      <c r="M452" s="78" t="s">
        <v>296</v>
      </c>
      <c r="N452" s="137">
        <v>3.0</v>
      </c>
      <c r="O452" s="185">
        <v>2.0</v>
      </c>
      <c r="P452" s="167" t="s">
        <v>412</v>
      </c>
      <c r="Q452" s="183"/>
      <c r="R452" s="78" t="s">
        <v>307</v>
      </c>
      <c r="S452" s="189">
        <v>19.0</v>
      </c>
      <c r="T452" s="80"/>
      <c r="U452" s="168"/>
      <c r="V452" s="187"/>
      <c r="W452" s="130"/>
      <c r="X452" s="188" t="s">
        <v>231</v>
      </c>
      <c r="Y452" s="78" t="s">
        <v>86</v>
      </c>
      <c r="Z452" s="78" t="s">
        <v>87</v>
      </c>
      <c r="AA452" s="167" t="s">
        <v>233</v>
      </c>
      <c r="AB452" s="79" t="s">
        <v>413</v>
      </c>
      <c r="AC452" s="130"/>
      <c r="AD452" s="130"/>
    </row>
    <row r="453">
      <c r="A453" s="78">
        <v>34.0</v>
      </c>
      <c r="B453" s="57" t="s">
        <v>228</v>
      </c>
      <c r="C453" s="78" t="s">
        <v>229</v>
      </c>
      <c r="D453" s="80"/>
      <c r="E453" s="137">
        <v>1198.0</v>
      </c>
      <c r="F453" s="9" t="str">
        <f t="shared" si="5"/>
        <v>AP</v>
      </c>
      <c r="G453" s="78" t="str">
        <f t="shared" si="2"/>
        <v>KAL1-A-1198-AP</v>
      </c>
      <c r="H453" s="78" t="s">
        <v>230</v>
      </c>
      <c r="I453" s="78" t="s">
        <v>294</v>
      </c>
      <c r="J453" s="78" t="s">
        <v>301</v>
      </c>
      <c r="K453" s="184">
        <v>135.0</v>
      </c>
      <c r="L453" s="137">
        <v>745000.0</v>
      </c>
      <c r="M453" s="78" t="s">
        <v>296</v>
      </c>
      <c r="N453" s="137">
        <v>3.0</v>
      </c>
      <c r="O453" s="185">
        <v>2.0</v>
      </c>
      <c r="P453" s="167" t="s">
        <v>412</v>
      </c>
      <c r="Q453" s="183"/>
      <c r="R453" s="78" t="s">
        <v>307</v>
      </c>
      <c r="S453" s="189">
        <v>19.0</v>
      </c>
      <c r="T453" s="80"/>
      <c r="U453" s="168"/>
      <c r="V453" s="187"/>
      <c r="W453" s="130"/>
      <c r="X453" s="188" t="s">
        <v>231</v>
      </c>
      <c r="Y453" s="78" t="s">
        <v>86</v>
      </c>
      <c r="Z453" s="78" t="s">
        <v>87</v>
      </c>
      <c r="AA453" s="167" t="s">
        <v>233</v>
      </c>
      <c r="AB453" s="79" t="s">
        <v>413</v>
      </c>
      <c r="AC453" s="130"/>
      <c r="AD453" s="130"/>
    </row>
    <row r="454">
      <c r="A454" s="78">
        <v>34.0</v>
      </c>
      <c r="B454" s="57" t="s">
        <v>228</v>
      </c>
      <c r="C454" s="78" t="s">
        <v>229</v>
      </c>
      <c r="D454" s="80"/>
      <c r="E454" s="137">
        <v>1201.0</v>
      </c>
      <c r="F454" s="9" t="str">
        <f t="shared" si="5"/>
        <v>AP</v>
      </c>
      <c r="G454" s="78" t="str">
        <f t="shared" si="2"/>
        <v>KAL1-A-1201-AP</v>
      </c>
      <c r="H454" s="78" t="s">
        <v>230</v>
      </c>
      <c r="I454" s="78" t="s">
        <v>294</v>
      </c>
      <c r="J454" s="78" t="s">
        <v>301</v>
      </c>
      <c r="K454" s="184">
        <v>88.0</v>
      </c>
      <c r="L454" s="137">
        <v>540000.0</v>
      </c>
      <c r="M454" s="78" t="s">
        <v>296</v>
      </c>
      <c r="N454" s="137">
        <v>2.0</v>
      </c>
      <c r="O454" s="185">
        <v>2.0</v>
      </c>
      <c r="P454" s="167" t="s">
        <v>412</v>
      </c>
      <c r="Q454" s="183"/>
      <c r="R454" s="78" t="s">
        <v>307</v>
      </c>
      <c r="S454" s="189">
        <v>20.0</v>
      </c>
      <c r="T454" s="80"/>
      <c r="U454" s="168"/>
      <c r="V454" s="187"/>
      <c r="W454" s="130"/>
      <c r="X454" s="188" t="s">
        <v>231</v>
      </c>
      <c r="Y454" s="78" t="s">
        <v>86</v>
      </c>
      <c r="Z454" s="78" t="s">
        <v>87</v>
      </c>
      <c r="AA454" s="167" t="s">
        <v>233</v>
      </c>
      <c r="AB454" s="79" t="s">
        <v>413</v>
      </c>
      <c r="AC454" s="130"/>
      <c r="AD454" s="130"/>
    </row>
    <row r="455">
      <c r="A455" s="78">
        <v>34.0</v>
      </c>
      <c r="B455" s="57" t="s">
        <v>228</v>
      </c>
      <c r="C455" s="78" t="s">
        <v>229</v>
      </c>
      <c r="D455" s="80"/>
      <c r="E455" s="137">
        <v>1202.0</v>
      </c>
      <c r="F455" s="9" t="str">
        <f t="shared" si="5"/>
        <v>AP</v>
      </c>
      <c r="G455" s="78" t="str">
        <f t="shared" si="2"/>
        <v>KAL1-A-1202-AP</v>
      </c>
      <c r="H455" s="78" t="s">
        <v>230</v>
      </c>
      <c r="I455" s="78" t="s">
        <v>294</v>
      </c>
      <c r="J455" s="78" t="s">
        <v>301</v>
      </c>
      <c r="K455" s="184">
        <v>68.0</v>
      </c>
      <c r="L455" s="137">
        <v>485000.0</v>
      </c>
      <c r="M455" s="78" t="s">
        <v>296</v>
      </c>
      <c r="N455" s="137">
        <v>1.0</v>
      </c>
      <c r="O455" s="185">
        <v>1.0</v>
      </c>
      <c r="P455" s="167" t="s">
        <v>415</v>
      </c>
      <c r="Q455" s="183"/>
      <c r="R455" s="78" t="s">
        <v>307</v>
      </c>
      <c r="S455" s="189">
        <v>20.0</v>
      </c>
      <c r="T455" s="80"/>
      <c r="U455" s="168"/>
      <c r="V455" s="187"/>
      <c r="W455" s="130"/>
      <c r="X455" s="188" t="s">
        <v>231</v>
      </c>
      <c r="Y455" s="78" t="s">
        <v>86</v>
      </c>
      <c r="Z455" s="78" t="s">
        <v>87</v>
      </c>
      <c r="AA455" s="167" t="s">
        <v>233</v>
      </c>
      <c r="AB455" s="79" t="s">
        <v>413</v>
      </c>
      <c r="AC455" s="130"/>
      <c r="AD455" s="130"/>
    </row>
    <row r="456">
      <c r="A456" s="78">
        <v>34.0</v>
      </c>
      <c r="B456" s="57" t="s">
        <v>228</v>
      </c>
      <c r="C456" s="78" t="s">
        <v>229</v>
      </c>
      <c r="D456" s="80"/>
      <c r="E456" s="137">
        <v>1203.0</v>
      </c>
      <c r="F456" s="9" t="str">
        <f t="shared" si="5"/>
        <v>AP</v>
      </c>
      <c r="G456" s="78" t="str">
        <f t="shared" si="2"/>
        <v>KAL1-A-1203-AP</v>
      </c>
      <c r="H456" s="78" t="s">
        <v>230</v>
      </c>
      <c r="I456" s="78" t="s">
        <v>294</v>
      </c>
      <c r="J456" s="78" t="s">
        <v>301</v>
      </c>
      <c r="K456" s="184">
        <v>109.0</v>
      </c>
      <c r="L456" s="137">
        <v>590000.0</v>
      </c>
      <c r="M456" s="78" t="s">
        <v>296</v>
      </c>
      <c r="N456" s="137">
        <v>2.0</v>
      </c>
      <c r="O456" s="185">
        <v>2.0</v>
      </c>
      <c r="P456" s="167" t="s">
        <v>412</v>
      </c>
      <c r="Q456" s="183"/>
      <c r="R456" s="78" t="s">
        <v>307</v>
      </c>
      <c r="S456" s="189">
        <v>20.0</v>
      </c>
      <c r="T456" s="80"/>
      <c r="U456" s="168"/>
      <c r="V456" s="187"/>
      <c r="W456" s="130"/>
      <c r="X456" s="188" t="s">
        <v>231</v>
      </c>
      <c r="Y456" s="78" t="s">
        <v>86</v>
      </c>
      <c r="Z456" s="78" t="s">
        <v>87</v>
      </c>
      <c r="AA456" s="167" t="s">
        <v>233</v>
      </c>
      <c r="AB456" s="79" t="s">
        <v>413</v>
      </c>
      <c r="AC456" s="130"/>
      <c r="AD456" s="130"/>
    </row>
    <row r="457">
      <c r="A457" s="78">
        <v>34.0</v>
      </c>
      <c r="B457" s="57" t="s">
        <v>228</v>
      </c>
      <c r="C457" s="78" t="s">
        <v>229</v>
      </c>
      <c r="D457" s="80"/>
      <c r="E457" s="137">
        <v>1204.0</v>
      </c>
      <c r="F457" s="9" t="str">
        <f t="shared" si="5"/>
        <v>AP</v>
      </c>
      <c r="G457" s="78" t="str">
        <f t="shared" si="2"/>
        <v>KAL1-A-1204-AP</v>
      </c>
      <c r="H457" s="78" t="s">
        <v>230</v>
      </c>
      <c r="I457" s="78" t="s">
        <v>294</v>
      </c>
      <c r="J457" s="78" t="s">
        <v>301</v>
      </c>
      <c r="K457" s="184">
        <v>134.0</v>
      </c>
      <c r="L457" s="137">
        <v>715000.0</v>
      </c>
      <c r="M457" s="78" t="s">
        <v>296</v>
      </c>
      <c r="N457" s="137">
        <v>3.0</v>
      </c>
      <c r="O457" s="185">
        <v>2.0</v>
      </c>
      <c r="P457" s="167" t="s">
        <v>412</v>
      </c>
      <c r="Q457" s="183"/>
      <c r="R457" s="78" t="s">
        <v>307</v>
      </c>
      <c r="S457" s="189">
        <v>20.0</v>
      </c>
      <c r="T457" s="80"/>
      <c r="U457" s="168"/>
      <c r="V457" s="187"/>
      <c r="W457" s="130"/>
      <c r="X457" s="188" t="s">
        <v>231</v>
      </c>
      <c r="Y457" s="78" t="s">
        <v>86</v>
      </c>
      <c r="Z457" s="78" t="s">
        <v>87</v>
      </c>
      <c r="AA457" s="167" t="s">
        <v>233</v>
      </c>
      <c r="AB457" s="79" t="s">
        <v>416</v>
      </c>
      <c r="AC457" s="130"/>
      <c r="AD457" s="130"/>
    </row>
    <row r="458">
      <c r="A458" s="78">
        <v>34.0</v>
      </c>
      <c r="B458" s="57" t="s">
        <v>228</v>
      </c>
      <c r="C458" s="78" t="s">
        <v>229</v>
      </c>
      <c r="D458" s="80"/>
      <c r="E458" s="137">
        <v>1205.0</v>
      </c>
      <c r="F458" s="9" t="str">
        <f t="shared" si="5"/>
        <v>AP</v>
      </c>
      <c r="G458" s="78" t="str">
        <f t="shared" si="2"/>
        <v>KAL1-A-1205-AP</v>
      </c>
      <c r="H458" s="78" t="s">
        <v>230</v>
      </c>
      <c r="I458" s="78" t="s">
        <v>294</v>
      </c>
      <c r="J458" s="78" t="s">
        <v>301</v>
      </c>
      <c r="K458" s="184">
        <v>102.0</v>
      </c>
      <c r="L458" s="137">
        <v>580000.0</v>
      </c>
      <c r="M458" s="78" t="s">
        <v>296</v>
      </c>
      <c r="N458" s="137">
        <v>2.0</v>
      </c>
      <c r="O458" s="185">
        <v>2.0</v>
      </c>
      <c r="P458" s="167" t="s">
        <v>412</v>
      </c>
      <c r="Q458" s="183"/>
      <c r="R458" s="78" t="s">
        <v>307</v>
      </c>
      <c r="S458" s="189">
        <v>20.0</v>
      </c>
      <c r="T458" s="80"/>
      <c r="U458" s="168"/>
      <c r="V458" s="187"/>
      <c r="W458" s="130"/>
      <c r="X458" s="188" t="s">
        <v>231</v>
      </c>
      <c r="Y458" s="78" t="s">
        <v>86</v>
      </c>
      <c r="Z458" s="78" t="s">
        <v>87</v>
      </c>
      <c r="AA458" s="167" t="s">
        <v>233</v>
      </c>
      <c r="AB458" s="79" t="s">
        <v>416</v>
      </c>
      <c r="AC458" s="130"/>
      <c r="AD458" s="130"/>
    </row>
    <row r="459">
      <c r="A459" s="78">
        <v>34.0</v>
      </c>
      <c r="B459" s="57" t="s">
        <v>228</v>
      </c>
      <c r="C459" s="78" t="s">
        <v>229</v>
      </c>
      <c r="D459" s="80"/>
      <c r="E459" s="137">
        <v>1206.0</v>
      </c>
      <c r="F459" s="9" t="str">
        <f t="shared" si="5"/>
        <v>AP</v>
      </c>
      <c r="G459" s="78" t="str">
        <f t="shared" si="2"/>
        <v>KAL1-A-1206-AP</v>
      </c>
      <c r="H459" s="78" t="s">
        <v>230</v>
      </c>
      <c r="I459" s="78" t="s">
        <v>294</v>
      </c>
      <c r="J459" s="78" t="s">
        <v>301</v>
      </c>
      <c r="K459" s="184">
        <v>102.0</v>
      </c>
      <c r="L459" s="137">
        <v>580000.0</v>
      </c>
      <c r="M459" s="78" t="s">
        <v>296</v>
      </c>
      <c r="N459" s="137">
        <v>2.0</v>
      </c>
      <c r="O459" s="185">
        <v>2.0</v>
      </c>
      <c r="P459" s="167" t="s">
        <v>412</v>
      </c>
      <c r="Q459" s="183"/>
      <c r="R459" s="78" t="s">
        <v>307</v>
      </c>
      <c r="S459" s="189">
        <v>20.0</v>
      </c>
      <c r="T459" s="80"/>
      <c r="U459" s="168"/>
      <c r="V459" s="187"/>
      <c r="W459" s="130"/>
      <c r="X459" s="188" t="s">
        <v>231</v>
      </c>
      <c r="Y459" s="78" t="s">
        <v>86</v>
      </c>
      <c r="Z459" s="78" t="s">
        <v>87</v>
      </c>
      <c r="AA459" s="167" t="s">
        <v>233</v>
      </c>
      <c r="AB459" s="79" t="s">
        <v>416</v>
      </c>
      <c r="AC459" s="130"/>
      <c r="AD459" s="130"/>
    </row>
    <row r="460">
      <c r="A460" s="78">
        <v>34.0</v>
      </c>
      <c r="B460" s="57" t="s">
        <v>228</v>
      </c>
      <c r="C460" s="78" t="s">
        <v>229</v>
      </c>
      <c r="D460" s="80"/>
      <c r="E460" s="137">
        <v>1207.0</v>
      </c>
      <c r="F460" s="9" t="str">
        <f t="shared" si="5"/>
        <v>AP</v>
      </c>
      <c r="G460" s="78" t="str">
        <f t="shared" si="2"/>
        <v>KAL1-A-1207-AP</v>
      </c>
      <c r="H460" s="78" t="s">
        <v>230</v>
      </c>
      <c r="I460" s="78" t="s">
        <v>294</v>
      </c>
      <c r="J460" s="78" t="s">
        <v>301</v>
      </c>
      <c r="K460" s="184">
        <v>133.0</v>
      </c>
      <c r="L460" s="137">
        <v>770000.0</v>
      </c>
      <c r="M460" s="78" t="s">
        <v>296</v>
      </c>
      <c r="N460" s="137">
        <v>3.0</v>
      </c>
      <c r="O460" s="185">
        <v>2.0</v>
      </c>
      <c r="P460" s="167" t="s">
        <v>412</v>
      </c>
      <c r="Q460" s="183"/>
      <c r="R460" s="78" t="s">
        <v>307</v>
      </c>
      <c r="S460" s="189">
        <v>20.0</v>
      </c>
      <c r="T460" s="80"/>
      <c r="U460" s="168"/>
      <c r="V460" s="187"/>
      <c r="W460" s="130"/>
      <c r="X460" s="188" t="s">
        <v>231</v>
      </c>
      <c r="Y460" s="78" t="s">
        <v>86</v>
      </c>
      <c r="Z460" s="78" t="s">
        <v>87</v>
      </c>
      <c r="AA460" s="167" t="s">
        <v>233</v>
      </c>
      <c r="AB460" s="79" t="s">
        <v>413</v>
      </c>
      <c r="AC460" s="130"/>
      <c r="AD460" s="130"/>
    </row>
    <row r="461">
      <c r="A461" s="78">
        <v>34.0</v>
      </c>
      <c r="B461" s="57" t="s">
        <v>228</v>
      </c>
      <c r="C461" s="78" t="s">
        <v>229</v>
      </c>
      <c r="D461" s="80"/>
      <c r="E461" s="137">
        <v>1208.0</v>
      </c>
      <c r="F461" s="9" t="str">
        <f t="shared" si="5"/>
        <v>AP</v>
      </c>
      <c r="G461" s="78" t="str">
        <f t="shared" si="2"/>
        <v>KAL1-A-1208-AP</v>
      </c>
      <c r="H461" s="78" t="s">
        <v>230</v>
      </c>
      <c r="I461" s="78" t="s">
        <v>294</v>
      </c>
      <c r="J461" s="78" t="s">
        <v>301</v>
      </c>
      <c r="K461" s="184">
        <v>135.0</v>
      </c>
      <c r="L461" s="137">
        <v>720000.0</v>
      </c>
      <c r="M461" s="78" t="s">
        <v>296</v>
      </c>
      <c r="N461" s="137">
        <v>3.0</v>
      </c>
      <c r="O461" s="185">
        <v>2.0</v>
      </c>
      <c r="P461" s="167" t="s">
        <v>412</v>
      </c>
      <c r="Q461" s="183"/>
      <c r="R461" s="78" t="s">
        <v>307</v>
      </c>
      <c r="S461" s="189">
        <v>20.0</v>
      </c>
      <c r="T461" s="80"/>
      <c r="U461" s="168"/>
      <c r="V461" s="187"/>
      <c r="W461" s="130"/>
      <c r="X461" s="188" t="s">
        <v>231</v>
      </c>
      <c r="Y461" s="78" t="s">
        <v>86</v>
      </c>
      <c r="Z461" s="78" t="s">
        <v>87</v>
      </c>
      <c r="AA461" s="167" t="s">
        <v>233</v>
      </c>
      <c r="AB461" s="79" t="s">
        <v>413</v>
      </c>
      <c r="AC461" s="130"/>
      <c r="AD461" s="130"/>
    </row>
    <row r="462">
      <c r="A462" s="78">
        <v>34.0</v>
      </c>
      <c r="B462" s="57" t="s">
        <v>228</v>
      </c>
      <c r="C462" s="78" t="s">
        <v>229</v>
      </c>
      <c r="D462" s="80"/>
      <c r="E462" s="137">
        <v>1211.0</v>
      </c>
      <c r="F462" s="9" t="str">
        <f t="shared" si="5"/>
        <v>AP</v>
      </c>
      <c r="G462" s="78" t="str">
        <f t="shared" si="2"/>
        <v>KAL1-A-1211-AP</v>
      </c>
      <c r="H462" s="78" t="s">
        <v>230</v>
      </c>
      <c r="I462" s="78" t="s">
        <v>294</v>
      </c>
      <c r="J462" s="78" t="s">
        <v>301</v>
      </c>
      <c r="K462" s="184">
        <v>88.0</v>
      </c>
      <c r="L462" s="137">
        <v>540000.0</v>
      </c>
      <c r="M462" s="78" t="s">
        <v>296</v>
      </c>
      <c r="N462" s="137">
        <v>2.0</v>
      </c>
      <c r="O462" s="185">
        <v>2.0</v>
      </c>
      <c r="P462" s="167" t="s">
        <v>412</v>
      </c>
      <c r="Q462" s="183"/>
      <c r="R462" s="78" t="s">
        <v>307</v>
      </c>
      <c r="S462" s="189">
        <v>21.0</v>
      </c>
      <c r="T462" s="80"/>
      <c r="U462" s="168"/>
      <c r="V462" s="187"/>
      <c r="W462" s="130"/>
      <c r="X462" s="188" t="s">
        <v>231</v>
      </c>
      <c r="Y462" s="78" t="s">
        <v>86</v>
      </c>
      <c r="Z462" s="78" t="s">
        <v>87</v>
      </c>
      <c r="AA462" s="167" t="s">
        <v>233</v>
      </c>
      <c r="AB462" s="79" t="s">
        <v>413</v>
      </c>
      <c r="AC462" s="130"/>
      <c r="AD462" s="130"/>
    </row>
    <row r="463">
      <c r="A463" s="78">
        <v>34.0</v>
      </c>
      <c r="B463" s="57" t="s">
        <v>228</v>
      </c>
      <c r="C463" s="78" t="s">
        <v>229</v>
      </c>
      <c r="D463" s="80"/>
      <c r="E463" s="137">
        <v>1212.0</v>
      </c>
      <c r="F463" s="9" t="str">
        <f t="shared" si="5"/>
        <v>AP</v>
      </c>
      <c r="G463" s="78" t="str">
        <f t="shared" si="2"/>
        <v>KAL1-A-1212-AP</v>
      </c>
      <c r="H463" s="78" t="s">
        <v>230</v>
      </c>
      <c r="I463" s="78" t="s">
        <v>294</v>
      </c>
      <c r="J463" s="78" t="s">
        <v>301</v>
      </c>
      <c r="K463" s="184">
        <v>68.0</v>
      </c>
      <c r="L463" s="137">
        <v>485000.0</v>
      </c>
      <c r="M463" s="78" t="s">
        <v>296</v>
      </c>
      <c r="N463" s="137">
        <v>1.0</v>
      </c>
      <c r="O463" s="185">
        <v>1.0</v>
      </c>
      <c r="P463" s="167" t="s">
        <v>415</v>
      </c>
      <c r="Q463" s="183"/>
      <c r="R463" s="78" t="s">
        <v>307</v>
      </c>
      <c r="S463" s="189">
        <v>21.0</v>
      </c>
      <c r="T463" s="80"/>
      <c r="U463" s="168"/>
      <c r="V463" s="187"/>
      <c r="W463" s="130"/>
      <c r="X463" s="188" t="s">
        <v>231</v>
      </c>
      <c r="Y463" s="78" t="s">
        <v>86</v>
      </c>
      <c r="Z463" s="78" t="s">
        <v>87</v>
      </c>
      <c r="AA463" s="167" t="s">
        <v>233</v>
      </c>
      <c r="AB463" s="79" t="s">
        <v>413</v>
      </c>
      <c r="AC463" s="130"/>
      <c r="AD463" s="130"/>
    </row>
    <row r="464">
      <c r="A464" s="78">
        <v>34.0</v>
      </c>
      <c r="B464" s="57" t="s">
        <v>228</v>
      </c>
      <c r="C464" s="78" t="s">
        <v>229</v>
      </c>
      <c r="D464" s="80"/>
      <c r="E464" s="137">
        <v>1213.0</v>
      </c>
      <c r="F464" s="9" t="str">
        <f t="shared" si="5"/>
        <v>AP</v>
      </c>
      <c r="G464" s="78" t="str">
        <f t="shared" si="2"/>
        <v>KAL1-A-1213-AP</v>
      </c>
      <c r="H464" s="78" t="s">
        <v>230</v>
      </c>
      <c r="I464" s="78" t="s">
        <v>294</v>
      </c>
      <c r="J464" s="78" t="s">
        <v>301</v>
      </c>
      <c r="K464" s="184">
        <v>109.0</v>
      </c>
      <c r="L464" s="137">
        <v>595000.0</v>
      </c>
      <c r="M464" s="78" t="s">
        <v>296</v>
      </c>
      <c r="N464" s="137">
        <v>2.0</v>
      </c>
      <c r="O464" s="185">
        <v>2.0</v>
      </c>
      <c r="P464" s="167" t="s">
        <v>412</v>
      </c>
      <c r="Q464" s="183"/>
      <c r="R464" s="78" t="s">
        <v>307</v>
      </c>
      <c r="S464" s="189">
        <v>21.0</v>
      </c>
      <c r="T464" s="80"/>
      <c r="U464" s="168"/>
      <c r="V464" s="187"/>
      <c r="W464" s="130"/>
      <c r="X464" s="188" t="s">
        <v>231</v>
      </c>
      <c r="Y464" s="78" t="s">
        <v>86</v>
      </c>
      <c r="Z464" s="78" t="s">
        <v>87</v>
      </c>
      <c r="AA464" s="167" t="s">
        <v>233</v>
      </c>
      <c r="AB464" s="79" t="s">
        <v>413</v>
      </c>
      <c r="AC464" s="130"/>
      <c r="AD464" s="130"/>
    </row>
    <row r="465">
      <c r="A465" s="78">
        <v>34.0</v>
      </c>
      <c r="B465" s="57" t="s">
        <v>228</v>
      </c>
      <c r="C465" s="78" t="s">
        <v>229</v>
      </c>
      <c r="D465" s="80"/>
      <c r="E465" s="137">
        <v>1214.0</v>
      </c>
      <c r="F465" s="9" t="str">
        <f t="shared" si="5"/>
        <v>AP</v>
      </c>
      <c r="G465" s="78" t="str">
        <f t="shared" si="2"/>
        <v>KAL1-A-1214-AP</v>
      </c>
      <c r="H465" s="78" t="s">
        <v>230</v>
      </c>
      <c r="I465" s="78" t="s">
        <v>294</v>
      </c>
      <c r="J465" s="78" t="s">
        <v>301</v>
      </c>
      <c r="K465" s="184">
        <v>134.0</v>
      </c>
      <c r="L465" s="137">
        <v>720000.0</v>
      </c>
      <c r="M465" s="78" t="s">
        <v>296</v>
      </c>
      <c r="N465" s="137">
        <v>3.0</v>
      </c>
      <c r="O465" s="185">
        <v>2.0</v>
      </c>
      <c r="P465" s="167" t="s">
        <v>412</v>
      </c>
      <c r="Q465" s="183"/>
      <c r="R465" s="78" t="s">
        <v>307</v>
      </c>
      <c r="S465" s="189">
        <v>21.0</v>
      </c>
      <c r="T465" s="80"/>
      <c r="U465" s="168"/>
      <c r="V465" s="187"/>
      <c r="W465" s="130"/>
      <c r="X465" s="188" t="s">
        <v>231</v>
      </c>
      <c r="Y465" s="78" t="s">
        <v>86</v>
      </c>
      <c r="Z465" s="78" t="s">
        <v>87</v>
      </c>
      <c r="AA465" s="167" t="s">
        <v>233</v>
      </c>
      <c r="AB465" s="79" t="s">
        <v>416</v>
      </c>
      <c r="AC465" s="130"/>
      <c r="AD465" s="130"/>
    </row>
    <row r="466">
      <c r="A466" s="78">
        <v>34.0</v>
      </c>
      <c r="B466" s="57" t="s">
        <v>228</v>
      </c>
      <c r="C466" s="78" t="s">
        <v>229</v>
      </c>
      <c r="D466" s="80"/>
      <c r="E466" s="137">
        <v>1215.0</v>
      </c>
      <c r="F466" s="9" t="str">
        <f t="shared" si="5"/>
        <v>AP</v>
      </c>
      <c r="G466" s="78" t="str">
        <f t="shared" si="2"/>
        <v>KAL1-A-1215-AP</v>
      </c>
      <c r="H466" s="78" t="s">
        <v>230</v>
      </c>
      <c r="I466" s="78" t="s">
        <v>294</v>
      </c>
      <c r="J466" s="78" t="s">
        <v>301</v>
      </c>
      <c r="K466" s="184">
        <v>102.0</v>
      </c>
      <c r="L466" s="137">
        <v>570000.0</v>
      </c>
      <c r="M466" s="78" t="s">
        <v>296</v>
      </c>
      <c r="N466" s="137">
        <v>2.0</v>
      </c>
      <c r="O466" s="185">
        <v>2.0</v>
      </c>
      <c r="P466" s="167" t="s">
        <v>412</v>
      </c>
      <c r="Q466" s="183"/>
      <c r="R466" s="78" t="s">
        <v>307</v>
      </c>
      <c r="S466" s="189">
        <v>21.0</v>
      </c>
      <c r="T466" s="80"/>
      <c r="U466" s="168"/>
      <c r="V466" s="187"/>
      <c r="W466" s="130"/>
      <c r="X466" s="188" t="s">
        <v>231</v>
      </c>
      <c r="Y466" s="78" t="s">
        <v>86</v>
      </c>
      <c r="Z466" s="78" t="s">
        <v>87</v>
      </c>
      <c r="AA466" s="167" t="s">
        <v>233</v>
      </c>
      <c r="AB466" s="79" t="s">
        <v>416</v>
      </c>
      <c r="AC466" s="130"/>
      <c r="AD466" s="130"/>
    </row>
    <row r="467">
      <c r="A467" s="78">
        <v>34.0</v>
      </c>
      <c r="B467" s="57" t="s">
        <v>228</v>
      </c>
      <c r="C467" s="78" t="s">
        <v>229</v>
      </c>
      <c r="D467" s="80"/>
      <c r="E467" s="137">
        <v>1216.0</v>
      </c>
      <c r="F467" s="9" t="str">
        <f t="shared" si="5"/>
        <v>AP</v>
      </c>
      <c r="G467" s="78" t="str">
        <f t="shared" si="2"/>
        <v>KAL1-A-1216-AP</v>
      </c>
      <c r="H467" s="78" t="s">
        <v>230</v>
      </c>
      <c r="I467" s="78" t="s">
        <v>294</v>
      </c>
      <c r="J467" s="78" t="s">
        <v>301</v>
      </c>
      <c r="K467" s="184">
        <v>102.0</v>
      </c>
      <c r="L467" s="137">
        <v>580000.0</v>
      </c>
      <c r="M467" s="78" t="s">
        <v>296</v>
      </c>
      <c r="N467" s="137">
        <v>2.0</v>
      </c>
      <c r="O467" s="185">
        <v>2.0</v>
      </c>
      <c r="P467" s="167" t="s">
        <v>412</v>
      </c>
      <c r="Q467" s="183"/>
      <c r="R467" s="78" t="s">
        <v>307</v>
      </c>
      <c r="S467" s="189">
        <v>21.0</v>
      </c>
      <c r="T467" s="80"/>
      <c r="U467" s="168"/>
      <c r="V467" s="187"/>
      <c r="W467" s="130"/>
      <c r="X467" s="188" t="s">
        <v>231</v>
      </c>
      <c r="Y467" s="78" t="s">
        <v>86</v>
      </c>
      <c r="Z467" s="78" t="s">
        <v>87</v>
      </c>
      <c r="AA467" s="167" t="s">
        <v>233</v>
      </c>
      <c r="AB467" s="79" t="s">
        <v>416</v>
      </c>
      <c r="AC467" s="130"/>
      <c r="AD467" s="130"/>
    </row>
    <row r="468">
      <c r="A468" s="78">
        <v>34.0</v>
      </c>
      <c r="B468" s="57" t="s">
        <v>228</v>
      </c>
      <c r="C468" s="78" t="s">
        <v>229</v>
      </c>
      <c r="D468" s="80"/>
      <c r="E468" s="137">
        <v>1217.0</v>
      </c>
      <c r="F468" s="9" t="str">
        <f t="shared" si="5"/>
        <v>AP</v>
      </c>
      <c r="G468" s="78" t="str">
        <f t="shared" si="2"/>
        <v>KAL1-A-1217-AP</v>
      </c>
      <c r="H468" s="78" t="s">
        <v>230</v>
      </c>
      <c r="I468" s="78" t="s">
        <v>294</v>
      </c>
      <c r="J468" s="78" t="s">
        <v>301</v>
      </c>
      <c r="K468" s="184">
        <v>133.0</v>
      </c>
      <c r="L468" s="137">
        <v>770000.0</v>
      </c>
      <c r="M468" s="78" t="s">
        <v>296</v>
      </c>
      <c r="N468" s="137">
        <v>3.0</v>
      </c>
      <c r="O468" s="185">
        <v>2.0</v>
      </c>
      <c r="P468" s="167" t="s">
        <v>412</v>
      </c>
      <c r="Q468" s="183"/>
      <c r="R468" s="78" t="s">
        <v>307</v>
      </c>
      <c r="S468" s="189">
        <v>21.0</v>
      </c>
      <c r="T468" s="80"/>
      <c r="U468" s="168"/>
      <c r="V468" s="187"/>
      <c r="W468" s="130"/>
      <c r="X468" s="188" t="s">
        <v>231</v>
      </c>
      <c r="Y468" s="78" t="s">
        <v>86</v>
      </c>
      <c r="Z468" s="78" t="s">
        <v>87</v>
      </c>
      <c r="AA468" s="167" t="s">
        <v>233</v>
      </c>
      <c r="AB468" s="79" t="s">
        <v>413</v>
      </c>
      <c r="AC468" s="130"/>
      <c r="AD468" s="130"/>
    </row>
    <row r="469">
      <c r="A469" s="78">
        <v>34.0</v>
      </c>
      <c r="B469" s="57" t="s">
        <v>228</v>
      </c>
      <c r="C469" s="78" t="s">
        <v>229</v>
      </c>
      <c r="D469" s="80"/>
      <c r="E469" s="137">
        <v>1218.0</v>
      </c>
      <c r="F469" s="9" t="str">
        <f t="shared" si="5"/>
        <v>AP</v>
      </c>
      <c r="G469" s="78" t="str">
        <f t="shared" si="2"/>
        <v>KAL1-A-1218-AP</v>
      </c>
      <c r="H469" s="78" t="s">
        <v>230</v>
      </c>
      <c r="I469" s="78" t="s">
        <v>294</v>
      </c>
      <c r="J469" s="78" t="s">
        <v>301</v>
      </c>
      <c r="K469" s="184">
        <v>135.0</v>
      </c>
      <c r="L469" s="137">
        <v>750000.0</v>
      </c>
      <c r="M469" s="78" t="s">
        <v>296</v>
      </c>
      <c r="N469" s="137">
        <v>3.0</v>
      </c>
      <c r="O469" s="185">
        <v>2.0</v>
      </c>
      <c r="P469" s="167" t="s">
        <v>412</v>
      </c>
      <c r="Q469" s="183"/>
      <c r="R469" s="78" t="s">
        <v>307</v>
      </c>
      <c r="S469" s="189">
        <v>21.0</v>
      </c>
      <c r="T469" s="80"/>
      <c r="U469" s="168"/>
      <c r="V469" s="187"/>
      <c r="W469" s="130"/>
      <c r="X469" s="188" t="s">
        <v>231</v>
      </c>
      <c r="Y469" s="78" t="s">
        <v>86</v>
      </c>
      <c r="Z469" s="78" t="s">
        <v>87</v>
      </c>
      <c r="AA469" s="167" t="s">
        <v>233</v>
      </c>
      <c r="AB469" s="79" t="s">
        <v>413</v>
      </c>
      <c r="AC469" s="130"/>
      <c r="AD469" s="130"/>
    </row>
    <row r="470">
      <c r="A470" s="78">
        <v>34.0</v>
      </c>
      <c r="B470" s="57" t="s">
        <v>228</v>
      </c>
      <c r="C470" s="78" t="s">
        <v>229</v>
      </c>
      <c r="D470" s="80"/>
      <c r="E470" s="137">
        <v>1221.0</v>
      </c>
      <c r="F470" s="9" t="str">
        <f t="shared" si="5"/>
        <v>AP</v>
      </c>
      <c r="G470" s="78" t="str">
        <f t="shared" si="2"/>
        <v>KAL1-A-1221-AP</v>
      </c>
      <c r="H470" s="78" t="s">
        <v>230</v>
      </c>
      <c r="I470" s="78" t="s">
        <v>294</v>
      </c>
      <c r="J470" s="78" t="s">
        <v>301</v>
      </c>
      <c r="K470" s="184">
        <v>88.0</v>
      </c>
      <c r="L470" s="137">
        <v>540000.0</v>
      </c>
      <c r="M470" s="78" t="s">
        <v>296</v>
      </c>
      <c r="N470" s="137">
        <v>2.0</v>
      </c>
      <c r="O470" s="185">
        <v>2.0</v>
      </c>
      <c r="P470" s="167" t="s">
        <v>412</v>
      </c>
      <c r="Q470" s="183"/>
      <c r="R470" s="78" t="s">
        <v>307</v>
      </c>
      <c r="S470" s="189">
        <v>22.0</v>
      </c>
      <c r="T470" s="80"/>
      <c r="U470" s="168"/>
      <c r="V470" s="187"/>
      <c r="W470" s="130"/>
      <c r="X470" s="188" t="s">
        <v>231</v>
      </c>
      <c r="Y470" s="78" t="s">
        <v>86</v>
      </c>
      <c r="Z470" s="78" t="s">
        <v>87</v>
      </c>
      <c r="AA470" s="167" t="s">
        <v>233</v>
      </c>
      <c r="AB470" s="79" t="s">
        <v>413</v>
      </c>
      <c r="AC470" s="130"/>
      <c r="AD470" s="130"/>
    </row>
    <row r="471">
      <c r="A471" s="78">
        <v>34.0</v>
      </c>
      <c r="B471" s="57" t="s">
        <v>228</v>
      </c>
      <c r="C471" s="78" t="s">
        <v>229</v>
      </c>
      <c r="D471" s="80"/>
      <c r="E471" s="137">
        <v>1222.0</v>
      </c>
      <c r="F471" s="9" t="str">
        <f t="shared" si="5"/>
        <v>AP</v>
      </c>
      <c r="G471" s="78" t="str">
        <f t="shared" si="2"/>
        <v>KAL1-A-1222-AP</v>
      </c>
      <c r="H471" s="78" t="s">
        <v>230</v>
      </c>
      <c r="I471" s="78" t="s">
        <v>294</v>
      </c>
      <c r="J471" s="78" t="s">
        <v>301</v>
      </c>
      <c r="K471" s="184">
        <v>68.0</v>
      </c>
      <c r="L471" s="137">
        <v>480000.0</v>
      </c>
      <c r="M471" s="78" t="s">
        <v>296</v>
      </c>
      <c r="N471" s="137">
        <v>1.0</v>
      </c>
      <c r="O471" s="185">
        <v>1.0</v>
      </c>
      <c r="P471" s="167" t="s">
        <v>415</v>
      </c>
      <c r="Q471" s="183"/>
      <c r="R471" s="78" t="s">
        <v>307</v>
      </c>
      <c r="S471" s="189">
        <v>22.0</v>
      </c>
      <c r="T471" s="80"/>
      <c r="U471" s="168"/>
      <c r="V471" s="187"/>
      <c r="W471" s="130"/>
      <c r="X471" s="188" t="s">
        <v>231</v>
      </c>
      <c r="Y471" s="78" t="s">
        <v>86</v>
      </c>
      <c r="Z471" s="78" t="s">
        <v>87</v>
      </c>
      <c r="AA471" s="167" t="s">
        <v>233</v>
      </c>
      <c r="AB471" s="79" t="s">
        <v>413</v>
      </c>
      <c r="AC471" s="130"/>
      <c r="AD471" s="130"/>
    </row>
    <row r="472">
      <c r="A472" s="78">
        <v>34.0</v>
      </c>
      <c r="B472" s="57" t="s">
        <v>228</v>
      </c>
      <c r="C472" s="78" t="s">
        <v>229</v>
      </c>
      <c r="D472" s="80"/>
      <c r="E472" s="137">
        <v>1223.0</v>
      </c>
      <c r="F472" s="9" t="str">
        <f t="shared" si="5"/>
        <v>AP</v>
      </c>
      <c r="G472" s="78" t="str">
        <f t="shared" si="2"/>
        <v>KAL1-A-1223-AP</v>
      </c>
      <c r="H472" s="78" t="s">
        <v>230</v>
      </c>
      <c r="I472" s="78" t="s">
        <v>294</v>
      </c>
      <c r="J472" s="78" t="s">
        <v>301</v>
      </c>
      <c r="K472" s="184">
        <v>109.0</v>
      </c>
      <c r="L472" s="137">
        <v>620000.0</v>
      </c>
      <c r="M472" s="78" t="s">
        <v>296</v>
      </c>
      <c r="N472" s="137">
        <v>2.0</v>
      </c>
      <c r="O472" s="185">
        <v>2.0</v>
      </c>
      <c r="P472" s="167" t="s">
        <v>412</v>
      </c>
      <c r="Q472" s="183"/>
      <c r="R472" s="78" t="s">
        <v>307</v>
      </c>
      <c r="S472" s="189">
        <v>22.0</v>
      </c>
      <c r="T472" s="80"/>
      <c r="U472" s="168"/>
      <c r="V472" s="187"/>
      <c r="W472" s="130"/>
      <c r="X472" s="188" t="s">
        <v>231</v>
      </c>
      <c r="Y472" s="78" t="s">
        <v>86</v>
      </c>
      <c r="Z472" s="78" t="s">
        <v>87</v>
      </c>
      <c r="AA472" s="167" t="s">
        <v>233</v>
      </c>
      <c r="AB472" s="79" t="s">
        <v>413</v>
      </c>
      <c r="AC472" s="130"/>
      <c r="AD472" s="130"/>
    </row>
    <row r="473">
      <c r="A473" s="78">
        <v>34.0</v>
      </c>
      <c r="B473" s="57" t="s">
        <v>228</v>
      </c>
      <c r="C473" s="78" t="s">
        <v>229</v>
      </c>
      <c r="D473" s="80"/>
      <c r="E473" s="137">
        <v>1224.0</v>
      </c>
      <c r="F473" s="9" t="str">
        <f t="shared" si="5"/>
        <v>AP</v>
      </c>
      <c r="G473" s="78" t="str">
        <f t="shared" si="2"/>
        <v>KAL1-A-1224-AP</v>
      </c>
      <c r="H473" s="78" t="s">
        <v>230</v>
      </c>
      <c r="I473" s="78" t="s">
        <v>294</v>
      </c>
      <c r="J473" s="78" t="s">
        <v>301</v>
      </c>
      <c r="K473" s="184">
        <v>134.0</v>
      </c>
      <c r="L473" s="137">
        <v>720000.0</v>
      </c>
      <c r="M473" s="78" t="s">
        <v>296</v>
      </c>
      <c r="N473" s="137">
        <v>3.0</v>
      </c>
      <c r="O473" s="185">
        <v>2.0</v>
      </c>
      <c r="P473" s="167" t="s">
        <v>412</v>
      </c>
      <c r="Q473" s="183"/>
      <c r="R473" s="78" t="s">
        <v>307</v>
      </c>
      <c r="S473" s="189">
        <v>22.0</v>
      </c>
      <c r="T473" s="80"/>
      <c r="U473" s="168"/>
      <c r="V473" s="187"/>
      <c r="W473" s="130"/>
      <c r="X473" s="188" t="s">
        <v>231</v>
      </c>
      <c r="Y473" s="78" t="s">
        <v>86</v>
      </c>
      <c r="Z473" s="78" t="s">
        <v>87</v>
      </c>
      <c r="AA473" s="167" t="s">
        <v>233</v>
      </c>
      <c r="AB473" s="79" t="s">
        <v>416</v>
      </c>
      <c r="AC473" s="130"/>
      <c r="AD473" s="130"/>
    </row>
    <row r="474">
      <c r="A474" s="78">
        <v>34.0</v>
      </c>
      <c r="B474" s="57" t="s">
        <v>228</v>
      </c>
      <c r="C474" s="78" t="s">
        <v>229</v>
      </c>
      <c r="D474" s="80"/>
      <c r="E474" s="137">
        <v>1225.0</v>
      </c>
      <c r="F474" s="9" t="str">
        <f t="shared" si="5"/>
        <v>AP</v>
      </c>
      <c r="G474" s="78" t="str">
        <f t="shared" si="2"/>
        <v>KAL1-A-1225-AP</v>
      </c>
      <c r="H474" s="78" t="s">
        <v>230</v>
      </c>
      <c r="I474" s="78" t="s">
        <v>294</v>
      </c>
      <c r="J474" s="78" t="s">
        <v>301</v>
      </c>
      <c r="K474" s="184">
        <v>102.0</v>
      </c>
      <c r="L474" s="137">
        <v>610000.0</v>
      </c>
      <c r="M474" s="78" t="s">
        <v>296</v>
      </c>
      <c r="N474" s="137">
        <v>2.0</v>
      </c>
      <c r="O474" s="185">
        <v>2.0</v>
      </c>
      <c r="P474" s="167" t="s">
        <v>412</v>
      </c>
      <c r="Q474" s="183"/>
      <c r="R474" s="78" t="s">
        <v>307</v>
      </c>
      <c r="S474" s="189">
        <v>22.0</v>
      </c>
      <c r="T474" s="80"/>
      <c r="U474" s="168"/>
      <c r="V474" s="187"/>
      <c r="W474" s="130"/>
      <c r="X474" s="188" t="s">
        <v>231</v>
      </c>
      <c r="Y474" s="78" t="s">
        <v>86</v>
      </c>
      <c r="Z474" s="78" t="s">
        <v>87</v>
      </c>
      <c r="AA474" s="167" t="s">
        <v>233</v>
      </c>
      <c r="AB474" s="79" t="s">
        <v>416</v>
      </c>
      <c r="AC474" s="130"/>
      <c r="AD474" s="130"/>
    </row>
    <row r="475">
      <c r="A475" s="78">
        <v>34.0</v>
      </c>
      <c r="B475" s="57" t="s">
        <v>228</v>
      </c>
      <c r="C475" s="78" t="s">
        <v>229</v>
      </c>
      <c r="D475" s="80"/>
      <c r="E475" s="137">
        <v>1226.0</v>
      </c>
      <c r="F475" s="9" t="str">
        <f t="shared" si="5"/>
        <v>AP</v>
      </c>
      <c r="G475" s="78" t="str">
        <f t="shared" si="2"/>
        <v>KAL1-A-1226-AP</v>
      </c>
      <c r="H475" s="78" t="s">
        <v>230</v>
      </c>
      <c r="I475" s="78" t="s">
        <v>294</v>
      </c>
      <c r="J475" s="78" t="s">
        <v>301</v>
      </c>
      <c r="K475" s="184">
        <v>88.0</v>
      </c>
      <c r="L475" s="137">
        <v>550000.0</v>
      </c>
      <c r="M475" s="78" t="s">
        <v>296</v>
      </c>
      <c r="N475" s="137">
        <v>2.0</v>
      </c>
      <c r="O475" s="185">
        <v>2.0</v>
      </c>
      <c r="P475" s="167" t="s">
        <v>412</v>
      </c>
      <c r="Q475" s="183"/>
      <c r="R475" s="78" t="s">
        <v>307</v>
      </c>
      <c r="S475" s="189">
        <v>22.0</v>
      </c>
      <c r="T475" s="80"/>
      <c r="U475" s="168"/>
      <c r="V475" s="187"/>
      <c r="W475" s="130"/>
      <c r="X475" s="188" t="s">
        <v>231</v>
      </c>
      <c r="Y475" s="78" t="s">
        <v>86</v>
      </c>
      <c r="Z475" s="78" t="s">
        <v>87</v>
      </c>
      <c r="AA475" s="167" t="s">
        <v>233</v>
      </c>
      <c r="AB475" s="79" t="s">
        <v>413</v>
      </c>
      <c r="AC475" s="130"/>
      <c r="AD475" s="130"/>
    </row>
    <row r="476">
      <c r="A476" s="78">
        <v>34.0</v>
      </c>
      <c r="B476" s="57" t="s">
        <v>228</v>
      </c>
      <c r="C476" s="78" t="s">
        <v>229</v>
      </c>
      <c r="D476" s="80"/>
      <c r="E476" s="137">
        <v>1231.0</v>
      </c>
      <c r="F476" s="9" t="str">
        <f t="shared" si="5"/>
        <v>AP</v>
      </c>
      <c r="G476" s="78" t="str">
        <f t="shared" si="2"/>
        <v>KAL1-A-1231-AP</v>
      </c>
      <c r="H476" s="78" t="s">
        <v>230</v>
      </c>
      <c r="I476" s="78" t="s">
        <v>294</v>
      </c>
      <c r="J476" s="78" t="s">
        <v>301</v>
      </c>
      <c r="K476" s="184">
        <v>68.0</v>
      </c>
      <c r="L476" s="137">
        <v>490000.0</v>
      </c>
      <c r="M476" s="78" t="s">
        <v>296</v>
      </c>
      <c r="N476" s="137">
        <v>1.0</v>
      </c>
      <c r="O476" s="185">
        <v>1.0</v>
      </c>
      <c r="P476" s="167" t="s">
        <v>415</v>
      </c>
      <c r="Q476" s="183"/>
      <c r="R476" s="78" t="s">
        <v>307</v>
      </c>
      <c r="S476" s="189">
        <v>23.0</v>
      </c>
      <c r="T476" s="80"/>
      <c r="U476" s="168"/>
      <c r="V476" s="187"/>
      <c r="W476" s="130"/>
      <c r="X476" s="188" t="s">
        <v>231</v>
      </c>
      <c r="Y476" s="78" t="s">
        <v>86</v>
      </c>
      <c r="Z476" s="78" t="s">
        <v>87</v>
      </c>
      <c r="AA476" s="167" t="s">
        <v>233</v>
      </c>
      <c r="AB476" s="79" t="s">
        <v>413</v>
      </c>
      <c r="AC476" s="130"/>
      <c r="AD476" s="130"/>
    </row>
    <row r="477">
      <c r="A477" s="78">
        <v>34.0</v>
      </c>
      <c r="B477" s="57" t="s">
        <v>228</v>
      </c>
      <c r="C477" s="78" t="s">
        <v>229</v>
      </c>
      <c r="D477" s="80"/>
      <c r="E477" s="137">
        <v>1232.0</v>
      </c>
      <c r="F477" s="9" t="str">
        <f t="shared" si="5"/>
        <v>AP</v>
      </c>
      <c r="G477" s="78" t="str">
        <f t="shared" si="2"/>
        <v>KAL1-A-1232-AP</v>
      </c>
      <c r="H477" s="78" t="s">
        <v>230</v>
      </c>
      <c r="I477" s="78" t="s">
        <v>294</v>
      </c>
      <c r="J477" s="78" t="s">
        <v>301</v>
      </c>
      <c r="K477" s="184">
        <v>109.0</v>
      </c>
      <c r="L477" s="137">
        <v>595000.0</v>
      </c>
      <c r="M477" s="78" t="s">
        <v>296</v>
      </c>
      <c r="N477" s="137">
        <v>3.0</v>
      </c>
      <c r="O477" s="57">
        <v>2.0</v>
      </c>
      <c r="P477" s="167" t="s">
        <v>412</v>
      </c>
      <c r="Q477" s="183"/>
      <c r="R477" s="78" t="s">
        <v>307</v>
      </c>
      <c r="S477" s="189">
        <v>23.0</v>
      </c>
      <c r="T477" s="80"/>
      <c r="U477" s="168"/>
      <c r="V477" s="187"/>
      <c r="W477" s="130"/>
      <c r="X477" s="188" t="s">
        <v>231</v>
      </c>
      <c r="Y477" s="78" t="s">
        <v>86</v>
      </c>
      <c r="Z477" s="78" t="s">
        <v>87</v>
      </c>
      <c r="AA477" s="167" t="s">
        <v>233</v>
      </c>
      <c r="AB477" s="79" t="s">
        <v>413</v>
      </c>
      <c r="AC477" s="130"/>
      <c r="AD477" s="130"/>
    </row>
    <row r="478">
      <c r="A478" s="78">
        <v>34.0</v>
      </c>
      <c r="B478" s="57" t="s">
        <v>228</v>
      </c>
      <c r="C478" s="78" t="s">
        <v>229</v>
      </c>
      <c r="D478" s="80"/>
      <c r="E478" s="137">
        <v>1233.0</v>
      </c>
      <c r="F478" s="9" t="str">
        <f t="shared" si="5"/>
        <v>AP</v>
      </c>
      <c r="G478" s="78" t="str">
        <f t="shared" si="2"/>
        <v>KAL1-A-1233-AP</v>
      </c>
      <c r="H478" s="78" t="s">
        <v>230</v>
      </c>
      <c r="I478" s="78" t="s">
        <v>294</v>
      </c>
      <c r="J478" s="78" t="s">
        <v>301</v>
      </c>
      <c r="K478" s="184">
        <v>134.0</v>
      </c>
      <c r="L478" s="137">
        <v>720000.0</v>
      </c>
      <c r="M478" s="78" t="s">
        <v>296</v>
      </c>
      <c r="N478" s="137">
        <v>3.0</v>
      </c>
      <c r="O478" s="185">
        <v>2.0</v>
      </c>
      <c r="P478" s="167" t="s">
        <v>412</v>
      </c>
      <c r="Q478" s="183"/>
      <c r="R478" s="78" t="s">
        <v>307</v>
      </c>
      <c r="S478" s="189">
        <v>23.0</v>
      </c>
      <c r="T478" s="80"/>
      <c r="U478" s="168"/>
      <c r="V478" s="187"/>
      <c r="W478" s="130"/>
      <c r="X478" s="188" t="s">
        <v>231</v>
      </c>
      <c r="Y478" s="78" t="s">
        <v>86</v>
      </c>
      <c r="Z478" s="78" t="s">
        <v>87</v>
      </c>
      <c r="AA478" s="167" t="s">
        <v>233</v>
      </c>
      <c r="AB478" s="79" t="s">
        <v>416</v>
      </c>
      <c r="AC478" s="130"/>
      <c r="AD478" s="130"/>
    </row>
  </sheetData>
  <autoFilter ref="$A$1:$AD$299"/>
  <dataValidations>
    <dataValidation type="list" allowBlank="1" showErrorMessage="1" sqref="J264:J478">
      <formula1>"دور,تاون هاوس,فيلا,شقة"</formula1>
    </dataValidation>
    <dataValidation type="list" allowBlank="1" showErrorMessage="1" sqref="M2:M478">
      <formula1>"تحت الإنشاء,متاحة,مباعة,محجوزة"</formula1>
    </dataValidation>
    <dataValidation type="list" allowBlank="1" showErrorMessage="1" sqref="P52:P263">
      <formula1>"صالة جلوس,مجلس,غرفة سائق,صالة طعام,غرفة خادمة,بلكونة,فناء خارجي,غرفة خدمات,غرفة غسيل"</formula1>
    </dataValidation>
    <dataValidation type="list" allowBlank="1" showErrorMessage="1" sqref="S264:S299">
      <formula1>"ارضي,اول,ثاني,ثالث,ملحق"</formula1>
    </dataValidation>
    <dataValidation type="list" allowBlank="1" showErrorMessage="1" sqref="W264:W299">
      <formula1>"زاوية,واجهة,موقف قبو,مدخلين,سطح خاص,مدخل خاص"</formula1>
    </dataValidation>
    <dataValidation type="list" allowBlank="1" showErrorMessage="1" sqref="AB2:AB299">
      <formula1>"امامية,خلفية"</formula1>
    </dataValidation>
    <dataValidation type="list" allowBlank="1" showErrorMessage="1" sqref="AB300:AB478">
      <formula1>"امامية,خلفية,خارجية,داخلية"</formula1>
    </dataValidation>
    <dataValidation type="list" allowBlank="1" showErrorMessage="1" sqref="P2:P51 P371 P373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P264:P370 P372 P374:P478">
      <formula1>"صالة جلوس,مجلس,غرفة سائق,صالة طعام,غرفة خادمة,بلكونة,غرفة خدمات,فناء خارجي,غرفة غسيل,مطبخ"</formula1>
    </dataValidation>
    <dataValidation type="list" allowBlank="1" showErrorMessage="1" sqref="R2:R478">
      <formula1>"مؤسس,لا يوجد,جاهز"</formula1>
    </dataValidation>
    <dataValidation type="list" allowBlank="1" showErrorMessage="1" sqref="S300:S478">
      <formula1>"ارضي,اول,ثاني,ثالث,1,2,3,4,5,6,7,8,9,10,11,12,13,14,15,16,17,18,19,20,21,22,23"</formula1>
    </dataValidation>
    <dataValidation type="list" allowBlank="1" showErrorMessage="1" sqref="S2:S263">
      <formula1>"ارضي,اول,ثاني,ثالث"</formula1>
    </dataValidation>
    <dataValidation type="list" allowBlank="1" showErrorMessage="1" sqref="W2:W263 W300:W478">
      <formula1>"زاوية,واجهة"</formula1>
    </dataValidation>
    <dataValidation type="list" allowBlank="1" showErrorMessage="1" sqref="I264:I478">
      <formula1>"A,B,C,D,E,F,G"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4"/>
    <hyperlink r:id="rId14" ref="AC14"/>
    <hyperlink r:id="rId15" ref="X15"/>
    <hyperlink r:id="rId16" ref="AC15"/>
    <hyperlink r:id="rId17" ref="X16"/>
    <hyperlink r:id="rId18" ref="AC16"/>
    <hyperlink r:id="rId19" ref="X17"/>
    <hyperlink r:id="rId20" ref="AC17"/>
    <hyperlink r:id="rId21" ref="X18"/>
    <hyperlink r:id="rId22" ref="AC18"/>
    <hyperlink r:id="rId23" ref="X19"/>
    <hyperlink r:id="rId24" ref="AC19"/>
    <hyperlink r:id="rId25" ref="X20"/>
    <hyperlink r:id="rId26" ref="AC20"/>
    <hyperlink r:id="rId27" ref="X21"/>
    <hyperlink r:id="rId28" ref="AC21"/>
    <hyperlink r:id="rId29" ref="X22"/>
    <hyperlink r:id="rId30" ref="AC22"/>
    <hyperlink r:id="rId31" ref="X23"/>
    <hyperlink r:id="rId32" ref="AC23"/>
    <hyperlink r:id="rId33" ref="X24"/>
    <hyperlink r:id="rId34" ref="AC24"/>
    <hyperlink r:id="rId35" ref="X25"/>
    <hyperlink r:id="rId36" ref="AC25"/>
    <hyperlink r:id="rId37" ref="X26"/>
    <hyperlink r:id="rId38" ref="AC26"/>
    <hyperlink r:id="rId39" ref="X27"/>
    <hyperlink r:id="rId40" ref="AC27"/>
    <hyperlink r:id="rId41" ref="X28"/>
    <hyperlink r:id="rId42" ref="AC28"/>
    <hyperlink r:id="rId43" ref="X29"/>
    <hyperlink r:id="rId44" ref="AC29"/>
    <hyperlink r:id="rId45" ref="X30"/>
    <hyperlink r:id="rId46" ref="AC30"/>
    <hyperlink r:id="rId47" ref="X31"/>
    <hyperlink r:id="rId48" ref="AC31"/>
    <hyperlink r:id="rId49" ref="X32"/>
    <hyperlink r:id="rId50" ref="X33"/>
    <hyperlink r:id="rId51" ref="X34"/>
    <hyperlink r:id="rId52" ref="X35"/>
    <hyperlink r:id="rId53" ref="X36"/>
    <hyperlink r:id="rId54" ref="X37"/>
    <hyperlink r:id="rId55" ref="X38"/>
    <hyperlink r:id="rId56" ref="X39"/>
    <hyperlink r:id="rId57" ref="X40"/>
    <hyperlink r:id="rId58" ref="X41"/>
    <hyperlink r:id="rId59" ref="AC41"/>
    <hyperlink r:id="rId60" ref="X42"/>
    <hyperlink r:id="rId61" ref="X43"/>
    <hyperlink r:id="rId62" ref="X44"/>
    <hyperlink r:id="rId63" ref="AC44"/>
    <hyperlink r:id="rId64" ref="X45"/>
    <hyperlink r:id="rId65" ref="X46"/>
    <hyperlink r:id="rId66" ref="X47"/>
    <hyperlink r:id="rId67" ref="X48"/>
    <hyperlink r:id="rId68" ref="X49"/>
    <hyperlink r:id="rId69" ref="X50"/>
    <hyperlink r:id="rId70" ref="AC50"/>
    <hyperlink r:id="rId71" ref="AD50"/>
    <hyperlink r:id="rId72" ref="X51"/>
    <hyperlink r:id="rId73" ref="AC51"/>
    <hyperlink r:id="rId74" ref="AD51"/>
    <hyperlink r:id="rId75" ref="X52"/>
    <hyperlink r:id="rId76" ref="AC52"/>
    <hyperlink r:id="rId77" ref="AD52"/>
    <hyperlink r:id="rId78" ref="X53"/>
    <hyperlink r:id="rId79" ref="AC53"/>
    <hyperlink r:id="rId80" ref="AD53"/>
    <hyperlink r:id="rId81" ref="X54"/>
    <hyperlink r:id="rId82" ref="AC54"/>
    <hyperlink r:id="rId83" ref="AD54"/>
    <hyperlink r:id="rId84" ref="X55"/>
    <hyperlink r:id="rId85" ref="AC55"/>
    <hyperlink r:id="rId86" ref="AD55"/>
    <hyperlink r:id="rId87" ref="X56"/>
    <hyperlink r:id="rId88" ref="AC56"/>
    <hyperlink r:id="rId89" ref="AD56"/>
    <hyperlink r:id="rId90" ref="X57"/>
    <hyperlink r:id="rId91" ref="AC57"/>
    <hyperlink r:id="rId92" ref="AD57"/>
    <hyperlink r:id="rId93" ref="X58"/>
    <hyperlink r:id="rId94" ref="AC58"/>
    <hyperlink r:id="rId95" ref="AD58"/>
    <hyperlink r:id="rId96" ref="X59"/>
    <hyperlink r:id="rId97" ref="AC59"/>
    <hyperlink r:id="rId98" ref="AD59"/>
    <hyperlink r:id="rId99" ref="X60"/>
    <hyperlink r:id="rId100" ref="AC60"/>
    <hyperlink r:id="rId101" ref="AD60"/>
    <hyperlink r:id="rId102" ref="X61"/>
    <hyperlink r:id="rId103" ref="AC61"/>
    <hyperlink r:id="rId104" ref="AD61"/>
    <hyperlink r:id="rId105" ref="X62"/>
    <hyperlink r:id="rId106" ref="AC62"/>
    <hyperlink r:id="rId107" ref="AD62"/>
    <hyperlink r:id="rId108" ref="X63"/>
    <hyperlink r:id="rId109" ref="AC63"/>
    <hyperlink r:id="rId110" ref="AD63"/>
    <hyperlink r:id="rId111" ref="X64"/>
    <hyperlink r:id="rId112" ref="X65"/>
    <hyperlink r:id="rId113" ref="X66"/>
    <hyperlink r:id="rId114" ref="X67"/>
    <hyperlink r:id="rId115" ref="X68"/>
    <hyperlink r:id="rId116" ref="X69"/>
    <hyperlink r:id="rId117" ref="X70"/>
    <hyperlink r:id="rId118" ref="X71"/>
    <hyperlink r:id="rId119" ref="X72"/>
    <hyperlink r:id="rId120" ref="X73"/>
    <hyperlink r:id="rId121" ref="X74"/>
    <hyperlink r:id="rId122" ref="X75"/>
    <hyperlink r:id="rId123" ref="X76"/>
    <hyperlink r:id="rId124" ref="X77"/>
    <hyperlink r:id="rId125" ref="X78"/>
    <hyperlink r:id="rId126" ref="X79"/>
    <hyperlink r:id="rId127" ref="X80"/>
    <hyperlink r:id="rId128" ref="X83"/>
    <hyperlink r:id="rId129" ref="X84"/>
    <hyperlink r:id="rId130" ref="X85"/>
    <hyperlink r:id="rId131" ref="X86"/>
    <hyperlink r:id="rId132" ref="X87"/>
    <hyperlink r:id="rId133" ref="X88"/>
    <hyperlink r:id="rId134" ref="X89"/>
    <hyperlink r:id="rId135" ref="X90"/>
    <hyperlink r:id="rId136" ref="X91"/>
    <hyperlink r:id="rId137" ref="X92"/>
    <hyperlink r:id="rId138" ref="X93"/>
    <hyperlink r:id="rId139" ref="X94"/>
    <hyperlink r:id="rId140" ref="X95"/>
    <hyperlink r:id="rId141" ref="X96"/>
    <hyperlink r:id="rId142" ref="X97"/>
    <hyperlink r:id="rId143" ref="X98"/>
    <hyperlink r:id="rId144" ref="X99"/>
    <hyperlink r:id="rId145" ref="X100"/>
    <hyperlink r:id="rId146" ref="X101"/>
    <hyperlink r:id="rId147" ref="X102"/>
    <hyperlink r:id="rId148" ref="X103"/>
    <hyperlink r:id="rId149" ref="X104"/>
    <hyperlink r:id="rId150" ref="X105"/>
    <hyperlink r:id="rId151" ref="X106"/>
    <hyperlink r:id="rId152" ref="AC107"/>
    <hyperlink r:id="rId153" ref="AC108"/>
    <hyperlink r:id="rId154" ref="AC109"/>
    <hyperlink r:id="rId155" ref="AC110"/>
    <hyperlink r:id="rId156" ref="AC111"/>
    <hyperlink r:id="rId157" ref="AC112"/>
    <hyperlink r:id="rId158" ref="AC113"/>
    <hyperlink r:id="rId159" ref="AC114"/>
    <hyperlink r:id="rId160" ref="AC115"/>
    <hyperlink r:id="rId161" ref="AC116"/>
    <hyperlink r:id="rId162" ref="AC117"/>
    <hyperlink r:id="rId163" ref="AC118"/>
    <hyperlink r:id="rId164" ref="AC119"/>
    <hyperlink r:id="rId165" ref="AC120"/>
    <hyperlink r:id="rId166" ref="AC121"/>
    <hyperlink r:id="rId167" ref="AC122"/>
    <hyperlink r:id="rId168" ref="AC123"/>
    <hyperlink r:id="rId169" ref="AC124"/>
    <hyperlink r:id="rId170" ref="AC125"/>
    <hyperlink r:id="rId171" ref="AC126"/>
    <hyperlink r:id="rId172" ref="AC127"/>
    <hyperlink r:id="rId173" ref="AC128"/>
    <hyperlink r:id="rId174" ref="AC129"/>
    <hyperlink r:id="rId175" ref="AC130"/>
    <hyperlink r:id="rId176" ref="AC131"/>
    <hyperlink r:id="rId177" ref="AC132"/>
    <hyperlink r:id="rId178" ref="AC133"/>
    <hyperlink r:id="rId179" ref="AC134"/>
    <hyperlink r:id="rId180" ref="AC135"/>
    <hyperlink r:id="rId181" ref="AC136"/>
    <hyperlink r:id="rId182" ref="AC137"/>
    <hyperlink r:id="rId183" ref="AC138"/>
    <hyperlink r:id="rId184" ref="AC139"/>
    <hyperlink r:id="rId185" ref="AC140"/>
    <hyperlink r:id="rId186" ref="AC141"/>
    <hyperlink r:id="rId187" ref="AC142"/>
    <hyperlink r:id="rId188" ref="AC143"/>
    <hyperlink r:id="rId189" ref="AC144"/>
    <hyperlink r:id="rId190" ref="AC145"/>
    <hyperlink r:id="rId191" ref="AC146"/>
    <hyperlink r:id="rId192" ref="AC147"/>
    <hyperlink r:id="rId193" ref="AC148"/>
    <hyperlink r:id="rId194" ref="AC149"/>
    <hyperlink r:id="rId195" ref="AC150"/>
    <hyperlink r:id="rId196" ref="AC151"/>
    <hyperlink r:id="rId197" ref="AC152"/>
    <hyperlink r:id="rId198" ref="AC153"/>
    <hyperlink r:id="rId199" ref="AC154"/>
    <hyperlink r:id="rId200" ref="AC155"/>
    <hyperlink r:id="rId201" ref="AC156"/>
    <hyperlink r:id="rId202" ref="AC157"/>
    <hyperlink r:id="rId203" ref="AC158"/>
    <hyperlink r:id="rId204" ref="AC159"/>
    <hyperlink r:id="rId205" ref="AC160"/>
    <hyperlink r:id="rId206" ref="AC161"/>
    <hyperlink r:id="rId207" ref="AC162"/>
    <hyperlink r:id="rId208" ref="AC163"/>
    <hyperlink r:id="rId209" ref="AC164"/>
    <hyperlink r:id="rId210" ref="AC165"/>
    <hyperlink r:id="rId211" ref="AC166"/>
    <hyperlink r:id="rId212" ref="AC167"/>
    <hyperlink r:id="rId213" ref="AC168"/>
    <hyperlink r:id="rId214" ref="AC169"/>
    <hyperlink r:id="rId215" ref="AC170"/>
    <hyperlink r:id="rId216" ref="AC171"/>
    <hyperlink r:id="rId217" ref="AC172"/>
    <hyperlink r:id="rId218" ref="AC173"/>
    <hyperlink r:id="rId219" ref="AC174"/>
    <hyperlink r:id="rId220" ref="AC175"/>
    <hyperlink r:id="rId221" ref="AC176"/>
    <hyperlink r:id="rId222" ref="AC177"/>
    <hyperlink r:id="rId223" ref="AC178"/>
    <hyperlink r:id="rId224" ref="AC179"/>
    <hyperlink r:id="rId225" ref="AC180"/>
    <hyperlink r:id="rId226" ref="AC181"/>
    <hyperlink r:id="rId227" ref="AC182"/>
    <hyperlink r:id="rId228" ref="AC183"/>
    <hyperlink r:id="rId229" ref="AC184"/>
    <hyperlink r:id="rId230" ref="AC185"/>
    <hyperlink r:id="rId231" ref="AC186"/>
    <hyperlink r:id="rId232" ref="AC187"/>
    <hyperlink r:id="rId233" ref="AC188"/>
    <hyperlink r:id="rId234" ref="AC189"/>
    <hyperlink r:id="rId235" ref="AC190"/>
    <hyperlink r:id="rId236" ref="AC191"/>
    <hyperlink r:id="rId237" ref="AC192"/>
    <hyperlink r:id="rId238" ref="AC193"/>
    <hyperlink r:id="rId239" ref="AC194"/>
    <hyperlink r:id="rId240" ref="AC195"/>
    <hyperlink r:id="rId241" ref="AC196"/>
    <hyperlink r:id="rId242" ref="AC197"/>
    <hyperlink r:id="rId243" ref="AC198"/>
    <hyperlink r:id="rId244" ref="AC199"/>
    <hyperlink r:id="rId245" ref="AC200"/>
    <hyperlink r:id="rId246" ref="AC201"/>
    <hyperlink r:id="rId247" ref="AC202"/>
    <hyperlink r:id="rId248" ref="AC203"/>
    <hyperlink r:id="rId249" ref="AC204"/>
    <hyperlink r:id="rId250" ref="AC205"/>
    <hyperlink r:id="rId251" ref="AC206"/>
    <hyperlink r:id="rId252" ref="AC207"/>
    <hyperlink r:id="rId253" ref="AC208"/>
    <hyperlink r:id="rId254" ref="AC209"/>
    <hyperlink r:id="rId255" ref="AC210"/>
    <hyperlink r:id="rId256" ref="AC211"/>
    <hyperlink r:id="rId257" ref="AC212"/>
    <hyperlink r:id="rId258" ref="AC213"/>
    <hyperlink r:id="rId259" ref="AC214"/>
    <hyperlink r:id="rId260" ref="AC215"/>
    <hyperlink r:id="rId261" ref="AC216"/>
    <hyperlink r:id="rId262" ref="AC217"/>
    <hyperlink r:id="rId263" ref="AC218"/>
    <hyperlink r:id="rId264" ref="AC219"/>
    <hyperlink r:id="rId265" ref="AC220"/>
    <hyperlink r:id="rId266" ref="AC221"/>
    <hyperlink r:id="rId267" ref="AC222"/>
    <hyperlink r:id="rId268" ref="AC223"/>
    <hyperlink r:id="rId269" ref="AC224"/>
    <hyperlink r:id="rId270" ref="AC225"/>
    <hyperlink r:id="rId271" ref="AC226"/>
    <hyperlink r:id="rId272" ref="AC227"/>
    <hyperlink r:id="rId273" ref="AC228"/>
    <hyperlink r:id="rId274" ref="AC229"/>
    <hyperlink r:id="rId275" ref="AC230"/>
    <hyperlink r:id="rId276" ref="AC231"/>
    <hyperlink r:id="rId277" ref="AC232"/>
    <hyperlink r:id="rId278" ref="AC233"/>
    <hyperlink r:id="rId279" ref="AC234"/>
    <hyperlink r:id="rId280" ref="AC235"/>
    <hyperlink r:id="rId281" ref="AC236"/>
    <hyperlink r:id="rId282" ref="AC237"/>
    <hyperlink r:id="rId283" ref="AC238"/>
    <hyperlink r:id="rId284" ref="AC239"/>
    <hyperlink r:id="rId285" ref="AC240"/>
    <hyperlink r:id="rId286" ref="AC241"/>
    <hyperlink r:id="rId287" ref="AC242"/>
    <hyperlink r:id="rId288" ref="AC243"/>
    <hyperlink r:id="rId289" ref="AC244"/>
    <hyperlink r:id="rId290" ref="AC245"/>
    <hyperlink r:id="rId291" ref="AC246"/>
    <hyperlink r:id="rId292" ref="AC247"/>
    <hyperlink r:id="rId293" ref="AC248"/>
    <hyperlink r:id="rId294" ref="AC249"/>
    <hyperlink r:id="rId295" ref="AC250"/>
    <hyperlink r:id="rId296" ref="AC251"/>
    <hyperlink r:id="rId297" ref="AC252"/>
    <hyperlink r:id="rId298" ref="AC253"/>
    <hyperlink r:id="rId299" ref="AC254"/>
    <hyperlink r:id="rId300" ref="AC255"/>
    <hyperlink r:id="rId301" ref="AC256"/>
    <hyperlink r:id="rId302" ref="AC257"/>
    <hyperlink r:id="rId303" ref="AC258"/>
    <hyperlink r:id="rId304" ref="AC259"/>
    <hyperlink r:id="rId305" ref="AC260"/>
    <hyperlink r:id="rId306" ref="AC261"/>
    <hyperlink r:id="rId307" ref="AC262"/>
    <hyperlink r:id="rId308" ref="AC263"/>
    <hyperlink r:id="rId309" ref="X264"/>
    <hyperlink r:id="rId310" ref="X265"/>
    <hyperlink r:id="rId311" ref="X266"/>
    <hyperlink r:id="rId312" ref="X267"/>
    <hyperlink r:id="rId313" ref="X268"/>
    <hyperlink r:id="rId314" ref="X269"/>
    <hyperlink r:id="rId315" ref="X270"/>
    <hyperlink r:id="rId316" ref="X271"/>
    <hyperlink r:id="rId317" ref="X272"/>
    <hyperlink r:id="rId318" ref="X273"/>
    <hyperlink r:id="rId319" ref="X274"/>
    <hyperlink r:id="rId320" ref="X275"/>
    <hyperlink r:id="rId321" ref="X276"/>
    <hyperlink r:id="rId322" ref="X277"/>
    <hyperlink r:id="rId323" ref="X278"/>
    <hyperlink r:id="rId324" ref="X279"/>
    <hyperlink r:id="rId325" ref="X280"/>
    <hyperlink r:id="rId326" ref="X281"/>
    <hyperlink r:id="rId327" ref="X282"/>
    <hyperlink r:id="rId328" ref="X283"/>
    <hyperlink r:id="rId329" ref="X284"/>
    <hyperlink r:id="rId330" ref="X285"/>
    <hyperlink r:id="rId331" ref="X286"/>
    <hyperlink r:id="rId332" ref="X287"/>
    <hyperlink r:id="rId333" ref="X288"/>
    <hyperlink r:id="rId334" ref="X289"/>
    <hyperlink r:id="rId335" ref="X290"/>
    <hyperlink r:id="rId336" ref="X291"/>
    <hyperlink r:id="rId337" ref="X292"/>
    <hyperlink r:id="rId338" ref="X293"/>
    <hyperlink r:id="rId339" ref="X294"/>
    <hyperlink r:id="rId340" ref="X295"/>
    <hyperlink r:id="rId341" ref="X296"/>
    <hyperlink r:id="rId342" ref="X297"/>
    <hyperlink r:id="rId343" ref="X298"/>
    <hyperlink r:id="rId344" ref="X299"/>
    <hyperlink r:id="rId345" ref="X300"/>
    <hyperlink r:id="rId346" ref="X301"/>
    <hyperlink r:id="rId347" ref="X302"/>
    <hyperlink r:id="rId348" ref="X303"/>
    <hyperlink r:id="rId349" ref="X304"/>
    <hyperlink r:id="rId350" ref="X305"/>
    <hyperlink r:id="rId351" ref="X306"/>
    <hyperlink r:id="rId352" ref="X307"/>
    <hyperlink r:id="rId353" ref="X308"/>
    <hyperlink r:id="rId354" ref="X309"/>
    <hyperlink r:id="rId355" ref="X310"/>
    <hyperlink r:id="rId356" ref="X311"/>
    <hyperlink r:id="rId357" ref="X312"/>
    <hyperlink r:id="rId358" ref="X313"/>
    <hyperlink r:id="rId359" ref="X314"/>
    <hyperlink r:id="rId360" ref="X315"/>
    <hyperlink r:id="rId361" ref="X316"/>
    <hyperlink r:id="rId362" ref="X317"/>
    <hyperlink r:id="rId363" ref="X318"/>
    <hyperlink r:id="rId364" ref="X319"/>
    <hyperlink r:id="rId365" ref="X320"/>
    <hyperlink r:id="rId366" ref="X321"/>
    <hyperlink r:id="rId367" ref="X322"/>
    <hyperlink r:id="rId368" ref="X323"/>
    <hyperlink r:id="rId369" ref="X324"/>
    <hyperlink r:id="rId370" ref="X325"/>
    <hyperlink r:id="rId371" ref="X326"/>
    <hyperlink r:id="rId372" ref="X327"/>
    <hyperlink r:id="rId373" ref="X328"/>
    <hyperlink r:id="rId374" ref="X329"/>
    <hyperlink r:id="rId375" ref="X330"/>
    <hyperlink r:id="rId376" ref="X331"/>
    <hyperlink r:id="rId377" ref="X332"/>
    <hyperlink r:id="rId378" ref="X333"/>
    <hyperlink r:id="rId379" ref="X334"/>
    <hyperlink r:id="rId380" ref="X335"/>
    <hyperlink r:id="rId381" ref="X336"/>
    <hyperlink r:id="rId382" ref="X337"/>
    <hyperlink r:id="rId383" ref="X338"/>
    <hyperlink r:id="rId384" ref="X339"/>
    <hyperlink r:id="rId385" ref="X340"/>
    <hyperlink r:id="rId386" ref="X341"/>
    <hyperlink r:id="rId387" ref="X342"/>
    <hyperlink r:id="rId388" ref="X343"/>
    <hyperlink r:id="rId389" ref="X344"/>
    <hyperlink r:id="rId390" ref="X345"/>
    <hyperlink r:id="rId391" ref="X346"/>
    <hyperlink r:id="rId392" ref="X347"/>
    <hyperlink r:id="rId393" ref="X348"/>
    <hyperlink r:id="rId394" ref="X349"/>
    <hyperlink r:id="rId395" ref="X350"/>
    <hyperlink r:id="rId396" ref="X351"/>
    <hyperlink r:id="rId397" ref="X352"/>
    <hyperlink r:id="rId398" ref="X353"/>
    <hyperlink r:id="rId399" ref="X354"/>
    <hyperlink r:id="rId400" ref="X355"/>
    <hyperlink r:id="rId401" ref="X356"/>
    <hyperlink r:id="rId402" ref="X357"/>
    <hyperlink r:id="rId403" ref="X358"/>
    <hyperlink r:id="rId404" ref="X359"/>
    <hyperlink r:id="rId405" ref="X360"/>
    <hyperlink r:id="rId406" ref="X361"/>
    <hyperlink r:id="rId407" ref="X362"/>
    <hyperlink r:id="rId408" ref="X363"/>
    <hyperlink r:id="rId409" ref="X364"/>
    <hyperlink r:id="rId410" ref="X365"/>
    <hyperlink r:id="rId411" ref="X366"/>
    <hyperlink r:id="rId412" ref="X367"/>
    <hyperlink r:id="rId413" ref="X368"/>
    <hyperlink r:id="rId414" ref="X369"/>
    <hyperlink r:id="rId415" ref="X370"/>
    <hyperlink r:id="rId416" ref="X371"/>
    <hyperlink r:id="rId417" ref="X372"/>
    <hyperlink r:id="rId418" ref="X373"/>
    <hyperlink r:id="rId419" ref="X374"/>
    <hyperlink r:id="rId420" ref="X375"/>
    <hyperlink r:id="rId421" ref="X376"/>
    <hyperlink r:id="rId422" ref="X377"/>
    <hyperlink r:id="rId423" ref="X378"/>
    <hyperlink r:id="rId424" ref="X379"/>
    <hyperlink r:id="rId425" ref="X380"/>
    <hyperlink r:id="rId426" ref="X381"/>
    <hyperlink r:id="rId427" ref="X382"/>
    <hyperlink r:id="rId428" ref="X383"/>
    <hyperlink r:id="rId429" ref="X384"/>
    <hyperlink r:id="rId430" ref="X385"/>
    <hyperlink r:id="rId431" ref="X386"/>
    <hyperlink r:id="rId432" ref="X387"/>
    <hyperlink r:id="rId433" ref="X388"/>
    <hyperlink r:id="rId434" ref="X389"/>
    <hyperlink r:id="rId435" ref="X390"/>
    <hyperlink r:id="rId436" ref="X391"/>
    <hyperlink r:id="rId437" ref="X392"/>
    <hyperlink r:id="rId438" ref="X393"/>
    <hyperlink r:id="rId439" ref="X394"/>
    <hyperlink r:id="rId440" ref="X395"/>
    <hyperlink r:id="rId441" ref="X396"/>
    <hyperlink r:id="rId442" ref="X397"/>
    <hyperlink r:id="rId443" ref="X398"/>
    <hyperlink r:id="rId444" ref="X399"/>
    <hyperlink r:id="rId445" ref="X400"/>
    <hyperlink r:id="rId446" ref="X401"/>
    <hyperlink r:id="rId447" ref="X402"/>
    <hyperlink r:id="rId448" ref="X403"/>
    <hyperlink r:id="rId449" ref="X404"/>
    <hyperlink r:id="rId450" ref="X405"/>
    <hyperlink r:id="rId451" ref="X406"/>
    <hyperlink r:id="rId452" ref="X407"/>
    <hyperlink r:id="rId453" ref="X408"/>
    <hyperlink r:id="rId454" ref="X409"/>
    <hyperlink r:id="rId455" ref="X410"/>
    <hyperlink r:id="rId456" ref="X411"/>
    <hyperlink r:id="rId457" ref="X412"/>
    <hyperlink r:id="rId458" ref="X413"/>
    <hyperlink r:id="rId459" ref="X414"/>
    <hyperlink r:id="rId460" ref="X415"/>
    <hyperlink r:id="rId461" ref="X416"/>
    <hyperlink r:id="rId462" ref="X417"/>
    <hyperlink r:id="rId463" ref="X418"/>
    <hyperlink r:id="rId464" ref="X419"/>
    <hyperlink r:id="rId465" ref="X420"/>
    <hyperlink r:id="rId466" ref="X421"/>
    <hyperlink r:id="rId467" ref="X422"/>
    <hyperlink r:id="rId468" ref="X423"/>
    <hyperlink r:id="rId469" ref="X424"/>
    <hyperlink r:id="rId470" ref="X425"/>
    <hyperlink r:id="rId471" ref="X426"/>
    <hyperlink r:id="rId472" ref="X427"/>
    <hyperlink r:id="rId473" ref="X428"/>
    <hyperlink r:id="rId474" ref="X429"/>
    <hyperlink r:id="rId475" ref="X430"/>
    <hyperlink r:id="rId476" ref="X431"/>
    <hyperlink r:id="rId477" ref="X432"/>
    <hyperlink r:id="rId478" ref="X433"/>
    <hyperlink r:id="rId479" ref="X434"/>
    <hyperlink r:id="rId480" ref="X435"/>
    <hyperlink r:id="rId481" ref="X436"/>
    <hyperlink r:id="rId482" ref="X437"/>
    <hyperlink r:id="rId483" ref="X438"/>
    <hyperlink r:id="rId484" ref="X439"/>
    <hyperlink r:id="rId485" ref="X440"/>
    <hyperlink r:id="rId486" ref="X441"/>
    <hyperlink r:id="rId487" ref="X442"/>
    <hyperlink r:id="rId488" ref="X443"/>
    <hyperlink r:id="rId489" ref="X444"/>
    <hyperlink r:id="rId490" ref="X445"/>
    <hyperlink r:id="rId491" ref="X446"/>
    <hyperlink r:id="rId492" ref="X447"/>
    <hyperlink r:id="rId493" ref="X448"/>
    <hyperlink r:id="rId494" ref="X449"/>
    <hyperlink r:id="rId495" ref="X450"/>
    <hyperlink r:id="rId496" ref="X451"/>
    <hyperlink r:id="rId497" ref="X452"/>
    <hyperlink r:id="rId498" ref="X453"/>
    <hyperlink r:id="rId499" ref="X454"/>
    <hyperlink r:id="rId500" ref="X455"/>
    <hyperlink r:id="rId501" ref="X456"/>
    <hyperlink r:id="rId502" ref="X457"/>
    <hyperlink r:id="rId503" ref="X458"/>
    <hyperlink r:id="rId504" ref="X459"/>
    <hyperlink r:id="rId505" ref="X460"/>
    <hyperlink r:id="rId506" ref="X461"/>
    <hyperlink r:id="rId507" ref="X462"/>
    <hyperlink r:id="rId508" ref="X463"/>
    <hyperlink r:id="rId509" ref="X464"/>
    <hyperlink r:id="rId510" ref="X465"/>
    <hyperlink r:id="rId511" ref="X466"/>
    <hyperlink r:id="rId512" ref="X467"/>
    <hyperlink r:id="rId513" ref="X468"/>
    <hyperlink r:id="rId514" ref="X469"/>
    <hyperlink r:id="rId515" ref="X470"/>
    <hyperlink r:id="rId516" ref="X471"/>
    <hyperlink r:id="rId517" ref="X472"/>
    <hyperlink r:id="rId518" ref="X473"/>
    <hyperlink r:id="rId519" ref="X474"/>
    <hyperlink r:id="rId520" ref="X475"/>
    <hyperlink r:id="rId521" ref="X476"/>
    <hyperlink r:id="rId522" ref="X477"/>
    <hyperlink r:id="rId523" ref="X47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6" max="16" width="40.63"/>
    <col customWidth="1" min="23" max="23" width="18.88"/>
  </cols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20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32</v>
      </c>
      <c r="AC1" s="5" t="s">
        <v>33</v>
      </c>
      <c r="AD1" s="5" t="s">
        <v>34</v>
      </c>
    </row>
    <row r="2">
      <c r="A2" s="7">
        <v>33.0</v>
      </c>
      <c r="B2" s="7" t="s">
        <v>223</v>
      </c>
      <c r="C2" s="8" t="s">
        <v>225</v>
      </c>
      <c r="D2" s="7"/>
      <c r="E2" s="78" t="s">
        <v>362</v>
      </c>
      <c r="F2" s="9" t="str">
        <f t="shared" ref="F2:F37" si="1">IF(J2="دور","FL",
IF(J2="شقة","AP",
IF(J2="فيلا","VI",
IF(J2="تاون هاوس","TH",""))))
</f>
        <v>AP</v>
      </c>
      <c r="G2" s="7" t="str">
        <f t="shared" ref="G2:G37" si="2">B2&amp;"-"&amp;I2&amp;"-"&amp;E2&amp;"-"&amp;F2</f>
        <v>SMD-A-A1-AP</v>
      </c>
      <c r="H2" s="8" t="s">
        <v>225</v>
      </c>
      <c r="I2" s="7" t="s">
        <v>294</v>
      </c>
      <c r="J2" s="8" t="s">
        <v>301</v>
      </c>
      <c r="K2" s="78">
        <v>90.0</v>
      </c>
      <c r="L2" s="137">
        <v>730000.0</v>
      </c>
      <c r="M2" s="8" t="s">
        <v>296</v>
      </c>
      <c r="N2" s="137">
        <v>2.0</v>
      </c>
      <c r="O2" s="78">
        <v>2.0</v>
      </c>
      <c r="P2" s="12" t="s">
        <v>363</v>
      </c>
      <c r="Q2" s="183"/>
      <c r="R2" s="8" t="s">
        <v>307</v>
      </c>
      <c r="S2" s="8" t="s">
        <v>298</v>
      </c>
      <c r="T2" s="13"/>
      <c r="U2" s="14"/>
      <c r="V2" s="15"/>
      <c r="W2" s="16"/>
      <c r="X2" s="71" t="s">
        <v>226</v>
      </c>
      <c r="Y2" s="8" t="s">
        <v>364</v>
      </c>
      <c r="Z2" s="8" t="s">
        <v>87</v>
      </c>
      <c r="AA2" s="12" t="s">
        <v>197</v>
      </c>
      <c r="AB2" s="130"/>
      <c r="AC2" s="17"/>
      <c r="AD2" s="17"/>
    </row>
    <row r="3">
      <c r="A3" s="7">
        <v>33.0</v>
      </c>
      <c r="B3" s="7" t="s">
        <v>223</v>
      </c>
      <c r="C3" s="8" t="s">
        <v>225</v>
      </c>
      <c r="D3" s="13"/>
      <c r="E3" s="57" t="s">
        <v>365</v>
      </c>
      <c r="F3" s="9" t="str">
        <f t="shared" si="1"/>
        <v>AP</v>
      </c>
      <c r="G3" s="7" t="str">
        <f t="shared" si="2"/>
        <v>SMD-A-A2-AP</v>
      </c>
      <c r="H3" s="8" t="s">
        <v>225</v>
      </c>
      <c r="I3" s="7" t="s">
        <v>294</v>
      </c>
      <c r="J3" s="8" t="s">
        <v>301</v>
      </c>
      <c r="K3" s="57">
        <v>133.0</v>
      </c>
      <c r="L3" s="137">
        <v>910000.0</v>
      </c>
      <c r="M3" s="8" t="s">
        <v>296</v>
      </c>
      <c r="N3" s="57">
        <v>3.0</v>
      </c>
      <c r="O3" s="57">
        <v>3.0</v>
      </c>
      <c r="P3" s="12" t="s">
        <v>363</v>
      </c>
      <c r="Q3" s="57">
        <v>52.0</v>
      </c>
      <c r="R3" s="8" t="s">
        <v>307</v>
      </c>
      <c r="S3" s="8" t="s">
        <v>298</v>
      </c>
      <c r="T3" s="13"/>
      <c r="U3" s="14"/>
      <c r="V3" s="15"/>
      <c r="W3" s="16" t="s">
        <v>366</v>
      </c>
      <c r="X3" s="71" t="s">
        <v>226</v>
      </c>
      <c r="Y3" s="8" t="s">
        <v>364</v>
      </c>
      <c r="Z3" s="8" t="s">
        <v>87</v>
      </c>
      <c r="AA3" s="12" t="s">
        <v>197</v>
      </c>
      <c r="AB3" s="80"/>
      <c r="AC3" s="17"/>
      <c r="AD3" s="17"/>
    </row>
    <row r="4">
      <c r="A4" s="7">
        <v>33.0</v>
      </c>
      <c r="B4" s="7" t="s">
        <v>223</v>
      </c>
      <c r="C4" s="8" t="s">
        <v>225</v>
      </c>
      <c r="D4" s="13"/>
      <c r="E4" s="57" t="s">
        <v>367</v>
      </c>
      <c r="F4" s="9" t="str">
        <f t="shared" si="1"/>
        <v>AP</v>
      </c>
      <c r="G4" s="7" t="str">
        <f t="shared" si="2"/>
        <v>SMD-A-A3-AP</v>
      </c>
      <c r="H4" s="8" t="s">
        <v>225</v>
      </c>
      <c r="I4" s="7" t="s">
        <v>294</v>
      </c>
      <c r="J4" s="8" t="s">
        <v>301</v>
      </c>
      <c r="K4" s="57">
        <v>130.0</v>
      </c>
      <c r="L4" s="137">
        <v>870000.0</v>
      </c>
      <c r="M4" s="8" t="s">
        <v>296</v>
      </c>
      <c r="N4" s="57">
        <v>3.0</v>
      </c>
      <c r="O4" s="57">
        <v>3.0</v>
      </c>
      <c r="P4" s="12" t="s">
        <v>363</v>
      </c>
      <c r="Q4" s="57">
        <v>18.0</v>
      </c>
      <c r="R4" s="8" t="s">
        <v>307</v>
      </c>
      <c r="S4" s="8" t="s">
        <v>298</v>
      </c>
      <c r="T4" s="13"/>
      <c r="U4" s="14"/>
      <c r="V4" s="15"/>
      <c r="W4" s="16"/>
      <c r="X4" s="71" t="s">
        <v>226</v>
      </c>
      <c r="Y4" s="8" t="s">
        <v>364</v>
      </c>
      <c r="Z4" s="8" t="s">
        <v>87</v>
      </c>
      <c r="AA4" s="12" t="s">
        <v>197</v>
      </c>
      <c r="AB4" s="80"/>
      <c r="AC4" s="17"/>
      <c r="AD4" s="17"/>
    </row>
    <row r="5">
      <c r="A5" s="7">
        <v>33.0</v>
      </c>
      <c r="B5" s="7" t="s">
        <v>223</v>
      </c>
      <c r="C5" s="8" t="s">
        <v>225</v>
      </c>
      <c r="D5" s="13"/>
      <c r="E5" s="57" t="s">
        <v>368</v>
      </c>
      <c r="F5" s="9" t="str">
        <f t="shared" si="1"/>
        <v>AP</v>
      </c>
      <c r="G5" s="7" t="str">
        <f t="shared" si="2"/>
        <v>SMD-A-A4-AP</v>
      </c>
      <c r="H5" s="8" t="s">
        <v>225</v>
      </c>
      <c r="I5" s="7" t="s">
        <v>294</v>
      </c>
      <c r="J5" s="8" t="s">
        <v>301</v>
      </c>
      <c r="K5" s="57">
        <v>136.0</v>
      </c>
      <c r="L5" s="137">
        <v>830000.0</v>
      </c>
      <c r="M5" s="8" t="s">
        <v>296</v>
      </c>
      <c r="N5" s="57">
        <v>3.0</v>
      </c>
      <c r="O5" s="57">
        <v>3.0</v>
      </c>
      <c r="P5" s="12" t="s">
        <v>363</v>
      </c>
      <c r="Q5" s="80"/>
      <c r="R5" s="8" t="s">
        <v>307</v>
      </c>
      <c r="S5" s="8" t="s">
        <v>308</v>
      </c>
      <c r="T5" s="13"/>
      <c r="U5" s="14"/>
      <c r="V5" s="15"/>
      <c r="W5" s="16" t="s">
        <v>369</v>
      </c>
      <c r="X5" s="71" t="s">
        <v>226</v>
      </c>
      <c r="Y5" s="8" t="s">
        <v>364</v>
      </c>
      <c r="Z5" s="8" t="s">
        <v>87</v>
      </c>
      <c r="AA5" s="12" t="s">
        <v>197</v>
      </c>
      <c r="AB5" s="57" t="s">
        <v>370</v>
      </c>
      <c r="AC5" s="17"/>
      <c r="AD5" s="17"/>
    </row>
    <row r="6">
      <c r="A6" s="7">
        <v>33.0</v>
      </c>
      <c r="B6" s="7" t="s">
        <v>223</v>
      </c>
      <c r="C6" s="8" t="s">
        <v>225</v>
      </c>
      <c r="D6" s="13"/>
      <c r="E6" s="57" t="s">
        <v>371</v>
      </c>
      <c r="F6" s="9" t="str">
        <f t="shared" si="1"/>
        <v>AP</v>
      </c>
      <c r="G6" s="7" t="str">
        <f t="shared" si="2"/>
        <v>SMD-A-A5-AP</v>
      </c>
      <c r="H6" s="8" t="s">
        <v>225</v>
      </c>
      <c r="I6" s="7" t="s">
        <v>294</v>
      </c>
      <c r="J6" s="8" t="s">
        <v>301</v>
      </c>
      <c r="K6" s="57">
        <v>136.0</v>
      </c>
      <c r="L6" s="137">
        <v>830000.0</v>
      </c>
      <c r="M6" s="8" t="s">
        <v>296</v>
      </c>
      <c r="N6" s="57">
        <v>3.0</v>
      </c>
      <c r="O6" s="57">
        <v>3.0</v>
      </c>
      <c r="P6" s="12" t="s">
        <v>363</v>
      </c>
      <c r="Q6" s="80"/>
      <c r="R6" s="8" t="s">
        <v>307</v>
      </c>
      <c r="S6" s="8" t="s">
        <v>308</v>
      </c>
      <c r="T6" s="13"/>
      <c r="U6" s="14"/>
      <c r="V6" s="15"/>
      <c r="W6" s="16" t="s">
        <v>369</v>
      </c>
      <c r="X6" s="71" t="s">
        <v>226</v>
      </c>
      <c r="Y6" s="8" t="s">
        <v>364</v>
      </c>
      <c r="Z6" s="8" t="s">
        <v>87</v>
      </c>
      <c r="AA6" s="12" t="s">
        <v>197</v>
      </c>
      <c r="AB6" s="57" t="s">
        <v>372</v>
      </c>
      <c r="AC6" s="17"/>
      <c r="AD6" s="17"/>
    </row>
    <row r="7">
      <c r="A7" s="7">
        <v>33.0</v>
      </c>
      <c r="B7" s="7" t="s">
        <v>223</v>
      </c>
      <c r="C7" s="8" t="s">
        <v>225</v>
      </c>
      <c r="D7" s="13"/>
      <c r="E7" s="57" t="s">
        <v>373</v>
      </c>
      <c r="F7" s="9" t="str">
        <f t="shared" si="1"/>
        <v>AP</v>
      </c>
      <c r="G7" s="7" t="str">
        <f t="shared" si="2"/>
        <v>SMD-A-A6-AP</v>
      </c>
      <c r="H7" s="8" t="s">
        <v>225</v>
      </c>
      <c r="I7" s="7" t="s">
        <v>294</v>
      </c>
      <c r="J7" s="8" t="s">
        <v>301</v>
      </c>
      <c r="K7" s="57">
        <v>149.0</v>
      </c>
      <c r="L7" s="137">
        <v>860000.0</v>
      </c>
      <c r="M7" s="8" t="s">
        <v>296</v>
      </c>
      <c r="N7" s="57">
        <v>3.0</v>
      </c>
      <c r="O7" s="57">
        <v>3.0</v>
      </c>
      <c r="P7" s="12" t="s">
        <v>363</v>
      </c>
      <c r="Q7" s="80"/>
      <c r="R7" s="8" t="s">
        <v>307</v>
      </c>
      <c r="S7" s="8" t="s">
        <v>308</v>
      </c>
      <c r="T7" s="13"/>
      <c r="U7" s="14"/>
      <c r="V7" s="15"/>
      <c r="W7" s="16" t="s">
        <v>369</v>
      </c>
      <c r="X7" s="71" t="s">
        <v>226</v>
      </c>
      <c r="Y7" s="8" t="s">
        <v>364</v>
      </c>
      <c r="Z7" s="8" t="s">
        <v>87</v>
      </c>
      <c r="AA7" s="12" t="s">
        <v>197</v>
      </c>
      <c r="AB7" s="57" t="s">
        <v>374</v>
      </c>
      <c r="AC7" s="17"/>
      <c r="AD7" s="17"/>
    </row>
    <row r="8">
      <c r="A8" s="7">
        <v>33.0</v>
      </c>
      <c r="B8" s="7" t="s">
        <v>223</v>
      </c>
      <c r="C8" s="8" t="s">
        <v>225</v>
      </c>
      <c r="D8" s="13"/>
      <c r="E8" s="57" t="s">
        <v>375</v>
      </c>
      <c r="F8" s="9" t="str">
        <f t="shared" si="1"/>
        <v>AP</v>
      </c>
      <c r="G8" s="7" t="str">
        <f t="shared" si="2"/>
        <v>SMD-A-A7-AP</v>
      </c>
      <c r="H8" s="8" t="s">
        <v>225</v>
      </c>
      <c r="I8" s="7" t="s">
        <v>294</v>
      </c>
      <c r="J8" s="8" t="s">
        <v>301</v>
      </c>
      <c r="K8" s="57">
        <v>136.0</v>
      </c>
      <c r="L8" s="137">
        <v>830000.0</v>
      </c>
      <c r="M8" s="8" t="s">
        <v>296</v>
      </c>
      <c r="N8" s="57">
        <v>3.0</v>
      </c>
      <c r="O8" s="57">
        <v>3.0</v>
      </c>
      <c r="P8" s="12" t="s">
        <v>363</v>
      </c>
      <c r="Q8" s="80"/>
      <c r="R8" s="8" t="s">
        <v>307</v>
      </c>
      <c r="S8" s="8" t="s">
        <v>318</v>
      </c>
      <c r="T8" s="13"/>
      <c r="U8" s="14"/>
      <c r="V8" s="15"/>
      <c r="W8" s="16" t="s">
        <v>369</v>
      </c>
      <c r="X8" s="71" t="s">
        <v>226</v>
      </c>
      <c r="Y8" s="8" t="s">
        <v>364</v>
      </c>
      <c r="Z8" s="8" t="s">
        <v>87</v>
      </c>
      <c r="AA8" s="12" t="s">
        <v>197</v>
      </c>
      <c r="AB8" s="57" t="s">
        <v>370</v>
      </c>
      <c r="AC8" s="17"/>
      <c r="AD8" s="17"/>
    </row>
    <row r="9">
      <c r="A9" s="7">
        <v>33.0</v>
      </c>
      <c r="B9" s="7" t="s">
        <v>223</v>
      </c>
      <c r="C9" s="8" t="s">
        <v>225</v>
      </c>
      <c r="D9" s="13"/>
      <c r="E9" s="57" t="s">
        <v>376</v>
      </c>
      <c r="F9" s="9" t="str">
        <f t="shared" si="1"/>
        <v>AP</v>
      </c>
      <c r="G9" s="7" t="str">
        <f t="shared" si="2"/>
        <v>SMD-A-A8-AP</v>
      </c>
      <c r="H9" s="8" t="s">
        <v>225</v>
      </c>
      <c r="I9" s="7" t="s">
        <v>294</v>
      </c>
      <c r="J9" s="8" t="s">
        <v>301</v>
      </c>
      <c r="K9" s="57">
        <v>130.0</v>
      </c>
      <c r="L9" s="137">
        <v>820000.0</v>
      </c>
      <c r="M9" s="8" t="s">
        <v>296</v>
      </c>
      <c r="N9" s="57">
        <v>3.0</v>
      </c>
      <c r="O9" s="57">
        <v>3.0</v>
      </c>
      <c r="P9" s="12" t="s">
        <v>363</v>
      </c>
      <c r="Q9" s="80"/>
      <c r="R9" s="8" t="s">
        <v>307</v>
      </c>
      <c r="S9" s="8" t="s">
        <v>318</v>
      </c>
      <c r="T9" s="13"/>
      <c r="U9" s="14"/>
      <c r="V9" s="15"/>
      <c r="W9" s="16" t="s">
        <v>369</v>
      </c>
      <c r="X9" s="71" t="s">
        <v>226</v>
      </c>
      <c r="Y9" s="8" t="s">
        <v>364</v>
      </c>
      <c r="Z9" s="8" t="s">
        <v>87</v>
      </c>
      <c r="AA9" s="12" t="s">
        <v>197</v>
      </c>
      <c r="AB9" s="57" t="s">
        <v>372</v>
      </c>
      <c r="AC9" s="17"/>
      <c r="AD9" s="17"/>
    </row>
    <row r="10">
      <c r="A10" s="7">
        <v>33.0</v>
      </c>
      <c r="B10" s="7" t="s">
        <v>223</v>
      </c>
      <c r="C10" s="8" t="s">
        <v>225</v>
      </c>
      <c r="D10" s="13"/>
      <c r="E10" s="57" t="s">
        <v>377</v>
      </c>
      <c r="F10" s="9" t="str">
        <f t="shared" si="1"/>
        <v>AP</v>
      </c>
      <c r="G10" s="7" t="str">
        <f t="shared" si="2"/>
        <v>SMD-A-A9-AP</v>
      </c>
      <c r="H10" s="8" t="s">
        <v>225</v>
      </c>
      <c r="I10" s="7" t="s">
        <v>294</v>
      </c>
      <c r="J10" s="8" t="s">
        <v>301</v>
      </c>
      <c r="K10" s="57">
        <v>149.0</v>
      </c>
      <c r="L10" s="137">
        <v>860000.0</v>
      </c>
      <c r="M10" s="8" t="s">
        <v>296</v>
      </c>
      <c r="N10" s="57">
        <v>3.0</v>
      </c>
      <c r="O10" s="57">
        <v>3.0</v>
      </c>
      <c r="P10" s="12" t="s">
        <v>363</v>
      </c>
      <c r="Q10" s="80"/>
      <c r="R10" s="8" t="s">
        <v>307</v>
      </c>
      <c r="S10" s="8" t="s">
        <v>318</v>
      </c>
      <c r="T10" s="13"/>
      <c r="U10" s="14"/>
      <c r="V10" s="15"/>
      <c r="W10" s="16" t="s">
        <v>369</v>
      </c>
      <c r="X10" s="71" t="s">
        <v>226</v>
      </c>
      <c r="Y10" s="8" t="s">
        <v>364</v>
      </c>
      <c r="Z10" s="8" t="s">
        <v>87</v>
      </c>
      <c r="AA10" s="12" t="s">
        <v>197</v>
      </c>
      <c r="AB10" s="57" t="s">
        <v>374</v>
      </c>
      <c r="AC10" s="17"/>
      <c r="AD10" s="17"/>
    </row>
    <row r="11">
      <c r="A11" s="7">
        <v>33.0</v>
      </c>
      <c r="B11" s="7" t="s">
        <v>223</v>
      </c>
      <c r="C11" s="8" t="s">
        <v>225</v>
      </c>
      <c r="D11" s="13"/>
      <c r="E11" s="57" t="s">
        <v>378</v>
      </c>
      <c r="F11" s="9" t="str">
        <f t="shared" si="1"/>
        <v>AP</v>
      </c>
      <c r="G11" s="7" t="str">
        <f t="shared" si="2"/>
        <v>SMD-A-A10-AP</v>
      </c>
      <c r="H11" s="8" t="s">
        <v>225</v>
      </c>
      <c r="I11" s="7" t="s">
        <v>294</v>
      </c>
      <c r="J11" s="8" t="s">
        <v>301</v>
      </c>
      <c r="K11" s="57">
        <v>110.0</v>
      </c>
      <c r="L11" s="137">
        <v>840000.0</v>
      </c>
      <c r="M11" s="8" t="s">
        <v>296</v>
      </c>
      <c r="N11" s="57">
        <v>2.0</v>
      </c>
      <c r="O11" s="57">
        <v>3.0</v>
      </c>
      <c r="P11" s="12" t="s">
        <v>379</v>
      </c>
      <c r="Q11" s="80"/>
      <c r="R11" s="8" t="s">
        <v>307</v>
      </c>
      <c r="S11" s="8" t="s">
        <v>380</v>
      </c>
      <c r="T11" s="13"/>
      <c r="U11" s="14"/>
      <c r="V11" s="15"/>
      <c r="W11" s="16" t="s">
        <v>381</v>
      </c>
      <c r="X11" s="71" t="s">
        <v>226</v>
      </c>
      <c r="Y11" s="8" t="s">
        <v>364</v>
      </c>
      <c r="Z11" s="8" t="s">
        <v>87</v>
      </c>
      <c r="AA11" s="12" t="s">
        <v>197</v>
      </c>
      <c r="AB11" s="57" t="s">
        <v>370</v>
      </c>
      <c r="AC11" s="17"/>
      <c r="AD11" s="17"/>
    </row>
    <row r="12">
      <c r="A12" s="7">
        <v>33.0</v>
      </c>
      <c r="B12" s="7" t="s">
        <v>223</v>
      </c>
      <c r="C12" s="8" t="s">
        <v>225</v>
      </c>
      <c r="D12" s="13"/>
      <c r="E12" s="57" t="s">
        <v>382</v>
      </c>
      <c r="F12" s="9" t="str">
        <f t="shared" si="1"/>
        <v>AP</v>
      </c>
      <c r="G12" s="7" t="str">
        <f t="shared" si="2"/>
        <v>SMD-A-A11-AP</v>
      </c>
      <c r="H12" s="8" t="s">
        <v>225</v>
      </c>
      <c r="I12" s="7" t="s">
        <v>294</v>
      </c>
      <c r="J12" s="8" t="s">
        <v>301</v>
      </c>
      <c r="K12" s="57">
        <v>100.0</v>
      </c>
      <c r="L12" s="137">
        <v>800000.0</v>
      </c>
      <c r="M12" s="8" t="s">
        <v>296</v>
      </c>
      <c r="N12" s="57">
        <v>2.0</v>
      </c>
      <c r="O12" s="57">
        <v>2.0</v>
      </c>
      <c r="P12" s="12" t="s">
        <v>383</v>
      </c>
      <c r="Q12" s="80"/>
      <c r="R12" s="8" t="s">
        <v>307</v>
      </c>
      <c r="S12" s="8" t="s">
        <v>380</v>
      </c>
      <c r="T12" s="13"/>
      <c r="U12" s="14"/>
      <c r="V12" s="15"/>
      <c r="W12" s="16" t="s">
        <v>381</v>
      </c>
      <c r="X12" s="71" t="s">
        <v>226</v>
      </c>
      <c r="Y12" s="8" t="s">
        <v>364</v>
      </c>
      <c r="Z12" s="8" t="s">
        <v>87</v>
      </c>
      <c r="AA12" s="12" t="s">
        <v>197</v>
      </c>
      <c r="AB12" s="57" t="s">
        <v>370</v>
      </c>
      <c r="AC12" s="17"/>
      <c r="AD12" s="17"/>
    </row>
    <row r="13">
      <c r="A13" s="7">
        <v>33.0</v>
      </c>
      <c r="B13" s="7" t="s">
        <v>223</v>
      </c>
      <c r="C13" s="8" t="s">
        <v>225</v>
      </c>
      <c r="D13" s="13"/>
      <c r="E13" s="57" t="s">
        <v>384</v>
      </c>
      <c r="F13" s="9" t="str">
        <f t="shared" si="1"/>
        <v>AP</v>
      </c>
      <c r="G13" s="7" t="str">
        <f t="shared" si="2"/>
        <v>SMD-B-B1-AP</v>
      </c>
      <c r="H13" s="8" t="s">
        <v>225</v>
      </c>
      <c r="I13" s="7" t="s">
        <v>303</v>
      </c>
      <c r="J13" s="8" t="s">
        <v>301</v>
      </c>
      <c r="K13" s="57">
        <v>94.0</v>
      </c>
      <c r="L13" s="137">
        <v>710000.0</v>
      </c>
      <c r="M13" s="8" t="s">
        <v>296</v>
      </c>
      <c r="N13" s="57">
        <v>2.0</v>
      </c>
      <c r="O13" s="57">
        <v>3.0</v>
      </c>
      <c r="P13" s="12" t="s">
        <v>383</v>
      </c>
      <c r="Q13" s="80"/>
      <c r="R13" s="8" t="s">
        <v>307</v>
      </c>
      <c r="S13" s="8" t="s">
        <v>298</v>
      </c>
      <c r="T13" s="13"/>
      <c r="U13" s="14"/>
      <c r="V13" s="15"/>
      <c r="W13" s="16"/>
      <c r="X13" s="71" t="s">
        <v>226</v>
      </c>
      <c r="Y13" s="8" t="s">
        <v>364</v>
      </c>
      <c r="Z13" s="8" t="s">
        <v>87</v>
      </c>
      <c r="AA13" s="12" t="s">
        <v>197</v>
      </c>
      <c r="AB13" s="80"/>
      <c r="AC13" s="17"/>
      <c r="AD13" s="17"/>
    </row>
    <row r="14">
      <c r="A14" s="7">
        <v>33.0</v>
      </c>
      <c r="B14" s="7" t="s">
        <v>223</v>
      </c>
      <c r="C14" s="8" t="s">
        <v>225</v>
      </c>
      <c r="D14" s="13"/>
      <c r="E14" s="57" t="s">
        <v>385</v>
      </c>
      <c r="F14" s="9" t="str">
        <f t="shared" si="1"/>
        <v>AP</v>
      </c>
      <c r="G14" s="7" t="str">
        <f t="shared" si="2"/>
        <v>SMD-B-B2-AP</v>
      </c>
      <c r="H14" s="8" t="s">
        <v>225</v>
      </c>
      <c r="I14" s="7" t="s">
        <v>303</v>
      </c>
      <c r="J14" s="8" t="s">
        <v>301</v>
      </c>
      <c r="K14" s="57">
        <v>120.0</v>
      </c>
      <c r="L14" s="137">
        <v>840000.0</v>
      </c>
      <c r="M14" s="8" t="s">
        <v>296</v>
      </c>
      <c r="N14" s="57">
        <v>3.0</v>
      </c>
      <c r="O14" s="57">
        <v>3.0</v>
      </c>
      <c r="P14" s="12" t="s">
        <v>386</v>
      </c>
      <c r="Q14" s="57">
        <v>29.0</v>
      </c>
      <c r="R14" s="8" t="s">
        <v>307</v>
      </c>
      <c r="S14" s="8" t="s">
        <v>298</v>
      </c>
      <c r="T14" s="13"/>
      <c r="U14" s="14"/>
      <c r="V14" s="15"/>
      <c r="W14" s="16"/>
      <c r="X14" s="71" t="s">
        <v>226</v>
      </c>
      <c r="Y14" s="8" t="s">
        <v>364</v>
      </c>
      <c r="Z14" s="8" t="s">
        <v>87</v>
      </c>
      <c r="AA14" s="12" t="s">
        <v>197</v>
      </c>
      <c r="AB14" s="80"/>
      <c r="AC14" s="17"/>
      <c r="AD14" s="17"/>
    </row>
    <row r="15">
      <c r="A15" s="7">
        <v>33.0</v>
      </c>
      <c r="B15" s="7" t="s">
        <v>223</v>
      </c>
      <c r="C15" s="8" t="s">
        <v>225</v>
      </c>
      <c r="D15" s="13"/>
      <c r="E15" s="57" t="s">
        <v>387</v>
      </c>
      <c r="F15" s="9" t="str">
        <f t="shared" si="1"/>
        <v>AP</v>
      </c>
      <c r="G15" s="7" t="str">
        <f t="shared" si="2"/>
        <v>SMD-B-B3-AP</v>
      </c>
      <c r="H15" s="8" t="s">
        <v>225</v>
      </c>
      <c r="I15" s="7" t="s">
        <v>303</v>
      </c>
      <c r="J15" s="8" t="s">
        <v>301</v>
      </c>
      <c r="K15" s="57">
        <v>93.0</v>
      </c>
      <c r="L15" s="137">
        <v>695000.0</v>
      </c>
      <c r="M15" s="8" t="s">
        <v>296</v>
      </c>
      <c r="N15" s="57">
        <v>2.0</v>
      </c>
      <c r="O15" s="57">
        <v>3.0</v>
      </c>
      <c r="P15" s="12" t="s">
        <v>383</v>
      </c>
      <c r="Q15" s="80"/>
      <c r="R15" s="8" t="s">
        <v>307</v>
      </c>
      <c r="S15" s="8" t="s">
        <v>298</v>
      </c>
      <c r="T15" s="13"/>
      <c r="U15" s="14"/>
      <c r="V15" s="15"/>
      <c r="W15" s="16"/>
      <c r="X15" s="71" t="s">
        <v>226</v>
      </c>
      <c r="Y15" s="8" t="s">
        <v>364</v>
      </c>
      <c r="Z15" s="8" t="s">
        <v>87</v>
      </c>
      <c r="AA15" s="12" t="s">
        <v>197</v>
      </c>
      <c r="AB15" s="80"/>
      <c r="AC15" s="17"/>
      <c r="AD15" s="17"/>
    </row>
    <row r="16">
      <c r="A16" s="7">
        <v>33.0</v>
      </c>
      <c r="B16" s="7" t="s">
        <v>223</v>
      </c>
      <c r="C16" s="8" t="s">
        <v>225</v>
      </c>
      <c r="D16" s="13"/>
      <c r="E16" s="57" t="s">
        <v>388</v>
      </c>
      <c r="F16" s="9" t="str">
        <f t="shared" si="1"/>
        <v>AP</v>
      </c>
      <c r="G16" s="7" t="str">
        <f t="shared" si="2"/>
        <v>SMD-B-B4-AP</v>
      </c>
      <c r="H16" s="8" t="s">
        <v>225</v>
      </c>
      <c r="I16" s="7" t="s">
        <v>303</v>
      </c>
      <c r="J16" s="8" t="s">
        <v>301</v>
      </c>
      <c r="K16" s="57">
        <v>118.0</v>
      </c>
      <c r="L16" s="137">
        <v>830000.0</v>
      </c>
      <c r="M16" s="8" t="s">
        <v>296</v>
      </c>
      <c r="N16" s="57">
        <v>3.0</v>
      </c>
      <c r="O16" s="57">
        <v>3.0</v>
      </c>
      <c r="P16" s="12" t="s">
        <v>386</v>
      </c>
      <c r="Q16" s="57">
        <v>29.0</v>
      </c>
      <c r="R16" s="8" t="s">
        <v>307</v>
      </c>
      <c r="S16" s="8" t="s">
        <v>298</v>
      </c>
      <c r="T16" s="13"/>
      <c r="U16" s="14"/>
      <c r="V16" s="15"/>
      <c r="W16" s="16"/>
      <c r="X16" s="71" t="s">
        <v>226</v>
      </c>
      <c r="Y16" s="8" t="s">
        <v>364</v>
      </c>
      <c r="Z16" s="8" t="s">
        <v>87</v>
      </c>
      <c r="AA16" s="12" t="s">
        <v>197</v>
      </c>
      <c r="AB16" s="80"/>
      <c r="AC16" s="17"/>
      <c r="AD16" s="17"/>
    </row>
    <row r="17">
      <c r="A17" s="7">
        <v>33.0</v>
      </c>
      <c r="B17" s="7" t="s">
        <v>223</v>
      </c>
      <c r="C17" s="8" t="s">
        <v>225</v>
      </c>
      <c r="D17" s="13"/>
      <c r="E17" s="57" t="s">
        <v>389</v>
      </c>
      <c r="F17" s="9" t="str">
        <f t="shared" si="1"/>
        <v>AP</v>
      </c>
      <c r="G17" s="7" t="str">
        <f t="shared" si="2"/>
        <v>SMD-B-B5-AP</v>
      </c>
      <c r="H17" s="8" t="s">
        <v>225</v>
      </c>
      <c r="I17" s="7" t="s">
        <v>303</v>
      </c>
      <c r="J17" s="8" t="s">
        <v>301</v>
      </c>
      <c r="K17" s="57">
        <v>117.0</v>
      </c>
      <c r="L17" s="137">
        <v>780000.0</v>
      </c>
      <c r="M17" s="8" t="s">
        <v>296</v>
      </c>
      <c r="N17" s="57">
        <v>3.0</v>
      </c>
      <c r="O17" s="57">
        <v>3.0</v>
      </c>
      <c r="P17" s="12" t="s">
        <v>363</v>
      </c>
      <c r="Q17" s="80"/>
      <c r="R17" s="8" t="s">
        <v>307</v>
      </c>
      <c r="S17" s="8" t="s">
        <v>308</v>
      </c>
      <c r="T17" s="13"/>
      <c r="U17" s="14"/>
      <c r="V17" s="15"/>
      <c r="W17" s="16"/>
      <c r="X17" s="71" t="s">
        <v>226</v>
      </c>
      <c r="Y17" s="8" t="s">
        <v>364</v>
      </c>
      <c r="Z17" s="8" t="s">
        <v>87</v>
      </c>
      <c r="AA17" s="12" t="s">
        <v>197</v>
      </c>
      <c r="AB17" s="57" t="s">
        <v>370</v>
      </c>
      <c r="AC17" s="17"/>
      <c r="AD17" s="17"/>
    </row>
    <row r="18">
      <c r="A18" s="7">
        <v>33.0</v>
      </c>
      <c r="B18" s="7" t="s">
        <v>223</v>
      </c>
      <c r="C18" s="8" t="s">
        <v>225</v>
      </c>
      <c r="D18" s="13"/>
      <c r="E18" s="57" t="s">
        <v>390</v>
      </c>
      <c r="F18" s="9" t="str">
        <f t="shared" si="1"/>
        <v>AP</v>
      </c>
      <c r="G18" s="7" t="str">
        <f t="shared" si="2"/>
        <v>SMD-B-B6-AP</v>
      </c>
      <c r="H18" s="8" t="s">
        <v>225</v>
      </c>
      <c r="I18" s="7" t="s">
        <v>303</v>
      </c>
      <c r="J18" s="8" t="s">
        <v>301</v>
      </c>
      <c r="K18" s="57">
        <v>120.0</v>
      </c>
      <c r="L18" s="137">
        <v>770000.0</v>
      </c>
      <c r="M18" s="8" t="s">
        <v>296</v>
      </c>
      <c r="N18" s="57">
        <v>3.0</v>
      </c>
      <c r="O18" s="57">
        <v>3.0</v>
      </c>
      <c r="P18" s="12" t="s">
        <v>363</v>
      </c>
      <c r="Q18" s="80"/>
      <c r="R18" s="8" t="s">
        <v>307</v>
      </c>
      <c r="S18" s="8" t="s">
        <v>308</v>
      </c>
      <c r="T18" s="13"/>
      <c r="U18" s="14"/>
      <c r="V18" s="15"/>
      <c r="W18" s="16"/>
      <c r="X18" s="71" t="s">
        <v>226</v>
      </c>
      <c r="Y18" s="8" t="s">
        <v>364</v>
      </c>
      <c r="Z18" s="8" t="s">
        <v>87</v>
      </c>
      <c r="AA18" s="12" t="s">
        <v>197</v>
      </c>
      <c r="AB18" s="57" t="s">
        <v>372</v>
      </c>
      <c r="AC18" s="17"/>
      <c r="AD18" s="17"/>
    </row>
    <row r="19">
      <c r="A19" s="7">
        <v>33.0</v>
      </c>
      <c r="B19" s="7" t="s">
        <v>223</v>
      </c>
      <c r="C19" s="8" t="s">
        <v>225</v>
      </c>
      <c r="D19" s="13"/>
      <c r="E19" s="57" t="s">
        <v>391</v>
      </c>
      <c r="F19" s="9" t="str">
        <f t="shared" si="1"/>
        <v>AP</v>
      </c>
      <c r="G19" s="7" t="str">
        <f t="shared" si="2"/>
        <v>SMD-B-B7-AP</v>
      </c>
      <c r="H19" s="8" t="s">
        <v>225</v>
      </c>
      <c r="I19" s="7" t="s">
        <v>303</v>
      </c>
      <c r="J19" s="8" t="s">
        <v>301</v>
      </c>
      <c r="K19" s="57">
        <v>116.0</v>
      </c>
      <c r="L19" s="137">
        <v>780000.0</v>
      </c>
      <c r="M19" s="8" t="s">
        <v>296</v>
      </c>
      <c r="N19" s="57">
        <v>3.0</v>
      </c>
      <c r="O19" s="57">
        <v>3.0</v>
      </c>
      <c r="P19" s="12" t="s">
        <v>363</v>
      </c>
      <c r="Q19" s="80"/>
      <c r="R19" s="8" t="s">
        <v>307</v>
      </c>
      <c r="S19" s="8" t="s">
        <v>308</v>
      </c>
      <c r="T19" s="13"/>
      <c r="U19" s="14"/>
      <c r="V19" s="15"/>
      <c r="W19" s="16"/>
      <c r="X19" s="71" t="s">
        <v>226</v>
      </c>
      <c r="Y19" s="8" t="s">
        <v>364</v>
      </c>
      <c r="Z19" s="8" t="s">
        <v>87</v>
      </c>
      <c r="AA19" s="12" t="s">
        <v>197</v>
      </c>
      <c r="AB19" s="57" t="s">
        <v>370</v>
      </c>
      <c r="AC19" s="17"/>
      <c r="AD19" s="17"/>
    </row>
    <row r="20">
      <c r="A20" s="7">
        <v>33.0</v>
      </c>
      <c r="B20" s="7" t="s">
        <v>223</v>
      </c>
      <c r="C20" s="8" t="s">
        <v>225</v>
      </c>
      <c r="D20" s="13"/>
      <c r="E20" s="57" t="s">
        <v>392</v>
      </c>
      <c r="F20" s="9" t="str">
        <f t="shared" si="1"/>
        <v>AP</v>
      </c>
      <c r="G20" s="7" t="str">
        <f t="shared" si="2"/>
        <v>SMD-B-B8-AP</v>
      </c>
      <c r="H20" s="8" t="s">
        <v>225</v>
      </c>
      <c r="I20" s="7" t="s">
        <v>303</v>
      </c>
      <c r="J20" s="8" t="s">
        <v>301</v>
      </c>
      <c r="K20" s="57">
        <v>118.0</v>
      </c>
      <c r="L20" s="137">
        <v>770000.0</v>
      </c>
      <c r="M20" s="8" t="s">
        <v>296</v>
      </c>
      <c r="N20" s="57">
        <v>3.0</v>
      </c>
      <c r="O20" s="57">
        <v>3.0</v>
      </c>
      <c r="P20" s="12" t="s">
        <v>363</v>
      </c>
      <c r="Q20" s="80"/>
      <c r="R20" s="8" t="s">
        <v>307</v>
      </c>
      <c r="S20" s="8" t="s">
        <v>308</v>
      </c>
      <c r="T20" s="13"/>
      <c r="U20" s="14"/>
      <c r="V20" s="15"/>
      <c r="W20" s="16"/>
      <c r="X20" s="71" t="s">
        <v>226</v>
      </c>
      <c r="Y20" s="8" t="s">
        <v>364</v>
      </c>
      <c r="Z20" s="8" t="s">
        <v>87</v>
      </c>
      <c r="AA20" s="12" t="s">
        <v>197</v>
      </c>
      <c r="AB20" s="57" t="s">
        <v>372</v>
      </c>
      <c r="AC20" s="17"/>
      <c r="AD20" s="17"/>
    </row>
    <row r="21">
      <c r="A21" s="7">
        <v>33.0</v>
      </c>
      <c r="B21" s="7" t="s">
        <v>223</v>
      </c>
      <c r="C21" s="8" t="s">
        <v>225</v>
      </c>
      <c r="D21" s="13"/>
      <c r="E21" s="57" t="s">
        <v>393</v>
      </c>
      <c r="F21" s="9" t="str">
        <f t="shared" si="1"/>
        <v>AP</v>
      </c>
      <c r="G21" s="7" t="str">
        <f t="shared" si="2"/>
        <v>SMD-B-B9-AP</v>
      </c>
      <c r="H21" s="8" t="s">
        <v>225</v>
      </c>
      <c r="I21" s="7" t="s">
        <v>303</v>
      </c>
      <c r="J21" s="8" t="s">
        <v>301</v>
      </c>
      <c r="K21" s="57">
        <v>117.0</v>
      </c>
      <c r="L21" s="137">
        <v>800000.0</v>
      </c>
      <c r="M21" s="8" t="s">
        <v>296</v>
      </c>
      <c r="N21" s="57">
        <v>3.0</v>
      </c>
      <c r="O21" s="57">
        <v>3.0</v>
      </c>
      <c r="P21" s="12" t="s">
        <v>363</v>
      </c>
      <c r="Q21" s="80"/>
      <c r="R21" s="8" t="s">
        <v>307</v>
      </c>
      <c r="S21" s="8" t="s">
        <v>318</v>
      </c>
      <c r="T21" s="13"/>
      <c r="U21" s="14"/>
      <c r="V21" s="15"/>
      <c r="W21" s="16" t="s">
        <v>369</v>
      </c>
      <c r="X21" s="71" t="s">
        <v>226</v>
      </c>
      <c r="Y21" s="8" t="s">
        <v>364</v>
      </c>
      <c r="Z21" s="8" t="s">
        <v>87</v>
      </c>
      <c r="AA21" s="12" t="s">
        <v>197</v>
      </c>
      <c r="AB21" s="57" t="s">
        <v>370</v>
      </c>
      <c r="AC21" s="17"/>
      <c r="AD21" s="17"/>
    </row>
    <row r="22">
      <c r="A22" s="7">
        <v>33.0</v>
      </c>
      <c r="B22" s="7" t="s">
        <v>223</v>
      </c>
      <c r="C22" s="8" t="s">
        <v>225</v>
      </c>
      <c r="D22" s="13"/>
      <c r="E22" s="57" t="s">
        <v>394</v>
      </c>
      <c r="F22" s="9" t="str">
        <f t="shared" si="1"/>
        <v>AP</v>
      </c>
      <c r="G22" s="7" t="str">
        <f t="shared" si="2"/>
        <v>SMD-B-B10-AP</v>
      </c>
      <c r="H22" s="8" t="s">
        <v>225</v>
      </c>
      <c r="I22" s="7" t="s">
        <v>303</v>
      </c>
      <c r="J22" s="8" t="s">
        <v>301</v>
      </c>
      <c r="K22" s="57">
        <v>115.0</v>
      </c>
      <c r="L22" s="137">
        <v>790000.0</v>
      </c>
      <c r="M22" s="8" t="s">
        <v>296</v>
      </c>
      <c r="N22" s="57">
        <v>3.0</v>
      </c>
      <c r="O22" s="57">
        <v>3.0</v>
      </c>
      <c r="P22" s="12" t="s">
        <v>363</v>
      </c>
      <c r="Q22" s="80"/>
      <c r="R22" s="8" t="s">
        <v>307</v>
      </c>
      <c r="S22" s="8" t="s">
        <v>318</v>
      </c>
      <c r="T22" s="13"/>
      <c r="U22" s="14"/>
      <c r="V22" s="15"/>
      <c r="W22" s="16" t="s">
        <v>369</v>
      </c>
      <c r="X22" s="71" t="s">
        <v>226</v>
      </c>
      <c r="Y22" s="8" t="s">
        <v>364</v>
      </c>
      <c r="Z22" s="8" t="s">
        <v>87</v>
      </c>
      <c r="AA22" s="12" t="s">
        <v>197</v>
      </c>
      <c r="AB22" s="57" t="s">
        <v>372</v>
      </c>
      <c r="AC22" s="17"/>
      <c r="AD22" s="17"/>
    </row>
    <row r="23">
      <c r="A23" s="7">
        <v>33.0</v>
      </c>
      <c r="B23" s="7" t="s">
        <v>223</v>
      </c>
      <c r="C23" s="8" t="s">
        <v>225</v>
      </c>
      <c r="D23" s="13"/>
      <c r="E23" s="57" t="s">
        <v>395</v>
      </c>
      <c r="F23" s="9" t="str">
        <f t="shared" si="1"/>
        <v>AP</v>
      </c>
      <c r="G23" s="7" t="str">
        <f t="shared" si="2"/>
        <v>SMD-B-B11-AP</v>
      </c>
      <c r="H23" s="8" t="s">
        <v>225</v>
      </c>
      <c r="I23" s="7" t="s">
        <v>303</v>
      </c>
      <c r="J23" s="8" t="s">
        <v>301</v>
      </c>
      <c r="K23" s="57">
        <v>116.0</v>
      </c>
      <c r="L23" s="137">
        <v>800000.0</v>
      </c>
      <c r="M23" s="8" t="s">
        <v>296</v>
      </c>
      <c r="N23" s="57">
        <v>3.0</v>
      </c>
      <c r="O23" s="57">
        <v>3.0</v>
      </c>
      <c r="P23" s="12" t="s">
        <v>363</v>
      </c>
      <c r="Q23" s="80"/>
      <c r="R23" s="8" t="s">
        <v>307</v>
      </c>
      <c r="S23" s="8" t="s">
        <v>318</v>
      </c>
      <c r="T23" s="13"/>
      <c r="U23" s="14"/>
      <c r="V23" s="15"/>
      <c r="W23" s="16" t="s">
        <v>369</v>
      </c>
      <c r="X23" s="71" t="s">
        <v>226</v>
      </c>
      <c r="Y23" s="8" t="s">
        <v>364</v>
      </c>
      <c r="Z23" s="8" t="s">
        <v>87</v>
      </c>
      <c r="AA23" s="12" t="s">
        <v>197</v>
      </c>
      <c r="AB23" s="57" t="s">
        <v>370</v>
      </c>
      <c r="AC23" s="17"/>
      <c r="AD23" s="17"/>
    </row>
    <row r="24">
      <c r="A24" s="7">
        <v>33.0</v>
      </c>
      <c r="B24" s="7" t="s">
        <v>223</v>
      </c>
      <c r="C24" s="8" t="s">
        <v>225</v>
      </c>
      <c r="D24" s="13"/>
      <c r="E24" s="57" t="s">
        <v>396</v>
      </c>
      <c r="F24" s="9" t="str">
        <f t="shared" si="1"/>
        <v>AP</v>
      </c>
      <c r="G24" s="7" t="str">
        <f t="shared" si="2"/>
        <v>SMD-B-B12-AP</v>
      </c>
      <c r="H24" s="8" t="s">
        <v>225</v>
      </c>
      <c r="I24" s="7" t="s">
        <v>303</v>
      </c>
      <c r="J24" s="8" t="s">
        <v>301</v>
      </c>
      <c r="K24" s="57">
        <v>114.0</v>
      </c>
      <c r="L24" s="137">
        <v>790000.0</v>
      </c>
      <c r="M24" s="8" t="s">
        <v>296</v>
      </c>
      <c r="N24" s="57">
        <v>3.0</v>
      </c>
      <c r="O24" s="57">
        <v>3.0</v>
      </c>
      <c r="P24" s="12" t="s">
        <v>363</v>
      </c>
      <c r="Q24" s="80"/>
      <c r="R24" s="8" t="s">
        <v>307</v>
      </c>
      <c r="S24" s="8" t="s">
        <v>318</v>
      </c>
      <c r="T24" s="13"/>
      <c r="U24" s="14"/>
      <c r="V24" s="15"/>
      <c r="W24" s="16" t="s">
        <v>369</v>
      </c>
      <c r="X24" s="71" t="s">
        <v>226</v>
      </c>
      <c r="Y24" s="8" t="s">
        <v>364</v>
      </c>
      <c r="Z24" s="8" t="s">
        <v>87</v>
      </c>
      <c r="AA24" s="12" t="s">
        <v>197</v>
      </c>
      <c r="AB24" s="57" t="s">
        <v>372</v>
      </c>
      <c r="AC24" s="17"/>
      <c r="AD24" s="17"/>
    </row>
    <row r="25">
      <c r="A25" s="7">
        <v>33.0</v>
      </c>
      <c r="B25" s="7" t="s">
        <v>223</v>
      </c>
      <c r="C25" s="8" t="s">
        <v>225</v>
      </c>
      <c r="D25" s="13"/>
      <c r="E25" s="57" t="s">
        <v>397</v>
      </c>
      <c r="F25" s="9" t="str">
        <f t="shared" si="1"/>
        <v>AP</v>
      </c>
      <c r="G25" s="7" t="str">
        <f t="shared" si="2"/>
        <v>SMD-B-B13-AP</v>
      </c>
      <c r="H25" s="8" t="s">
        <v>225</v>
      </c>
      <c r="I25" s="7" t="s">
        <v>303</v>
      </c>
      <c r="J25" s="8" t="s">
        <v>301</v>
      </c>
      <c r="K25" s="57">
        <v>97.0</v>
      </c>
      <c r="L25" s="137">
        <v>800000.0</v>
      </c>
      <c r="M25" s="8" t="s">
        <v>296</v>
      </c>
      <c r="N25" s="57">
        <v>2.0</v>
      </c>
      <c r="O25" s="57">
        <v>3.0</v>
      </c>
      <c r="P25" s="12" t="s">
        <v>383</v>
      </c>
      <c r="Q25" s="80"/>
      <c r="R25" s="8" t="s">
        <v>307</v>
      </c>
      <c r="S25" s="8" t="s">
        <v>380</v>
      </c>
      <c r="T25" s="13"/>
      <c r="U25" s="14"/>
      <c r="V25" s="15"/>
      <c r="W25" s="16" t="s">
        <v>398</v>
      </c>
      <c r="X25" s="71" t="s">
        <v>226</v>
      </c>
      <c r="Y25" s="8" t="s">
        <v>364</v>
      </c>
      <c r="Z25" s="8" t="s">
        <v>87</v>
      </c>
      <c r="AA25" s="12" t="s">
        <v>197</v>
      </c>
      <c r="AB25" s="57" t="s">
        <v>370</v>
      </c>
      <c r="AC25" s="17"/>
      <c r="AD25" s="17"/>
    </row>
    <row r="26">
      <c r="A26" s="7">
        <v>33.0</v>
      </c>
      <c r="B26" s="7" t="s">
        <v>223</v>
      </c>
      <c r="C26" s="8" t="s">
        <v>225</v>
      </c>
      <c r="D26" s="13"/>
      <c r="E26" s="57" t="s">
        <v>399</v>
      </c>
      <c r="F26" s="9" t="str">
        <f t="shared" si="1"/>
        <v>AP</v>
      </c>
      <c r="G26" s="7" t="str">
        <f t="shared" si="2"/>
        <v>SMD-B-B14-AP</v>
      </c>
      <c r="H26" s="8" t="s">
        <v>225</v>
      </c>
      <c r="I26" s="7" t="s">
        <v>303</v>
      </c>
      <c r="J26" s="8" t="s">
        <v>301</v>
      </c>
      <c r="K26" s="57">
        <v>95.0</v>
      </c>
      <c r="L26" s="137">
        <v>810000.0</v>
      </c>
      <c r="M26" s="8" t="s">
        <v>296</v>
      </c>
      <c r="N26" s="57">
        <v>2.0</v>
      </c>
      <c r="O26" s="57">
        <v>3.0</v>
      </c>
      <c r="P26" s="12" t="s">
        <v>383</v>
      </c>
      <c r="Q26" s="80"/>
      <c r="R26" s="8" t="s">
        <v>307</v>
      </c>
      <c r="S26" s="8" t="s">
        <v>380</v>
      </c>
      <c r="T26" s="13"/>
      <c r="U26" s="14"/>
      <c r="V26" s="15"/>
      <c r="W26" s="16" t="s">
        <v>398</v>
      </c>
      <c r="X26" s="71" t="s">
        <v>226</v>
      </c>
      <c r="Y26" s="8" t="s">
        <v>364</v>
      </c>
      <c r="Z26" s="8" t="s">
        <v>87</v>
      </c>
      <c r="AA26" s="12" t="s">
        <v>197</v>
      </c>
      <c r="AB26" s="57" t="s">
        <v>370</v>
      </c>
      <c r="AC26" s="17"/>
      <c r="AD26" s="17"/>
    </row>
    <row r="27">
      <c r="A27" s="7">
        <v>33.0</v>
      </c>
      <c r="B27" s="7" t="s">
        <v>223</v>
      </c>
      <c r="C27" s="8" t="s">
        <v>225</v>
      </c>
      <c r="D27" s="13"/>
      <c r="E27" s="57" t="s">
        <v>400</v>
      </c>
      <c r="F27" s="9" t="str">
        <f t="shared" si="1"/>
        <v>AP</v>
      </c>
      <c r="G27" s="7" t="str">
        <f t="shared" si="2"/>
        <v>SMD-C-C1-AP</v>
      </c>
      <c r="H27" s="8" t="s">
        <v>225</v>
      </c>
      <c r="I27" s="7" t="s">
        <v>317</v>
      </c>
      <c r="J27" s="8" t="s">
        <v>301</v>
      </c>
      <c r="K27" s="57">
        <v>110.0</v>
      </c>
      <c r="L27" s="137">
        <v>730000.0</v>
      </c>
      <c r="M27" s="8" t="s">
        <v>296</v>
      </c>
      <c r="N27" s="57">
        <v>2.0</v>
      </c>
      <c r="O27" s="57">
        <v>3.0</v>
      </c>
      <c r="P27" s="12" t="s">
        <v>383</v>
      </c>
      <c r="Q27" s="80"/>
      <c r="R27" s="8" t="s">
        <v>307</v>
      </c>
      <c r="S27" s="8" t="s">
        <v>298</v>
      </c>
      <c r="T27" s="13"/>
      <c r="U27" s="14"/>
      <c r="V27" s="15"/>
      <c r="W27" s="16"/>
      <c r="X27" s="71" t="s">
        <v>226</v>
      </c>
      <c r="Y27" s="8" t="s">
        <v>364</v>
      </c>
      <c r="Z27" s="8" t="s">
        <v>87</v>
      </c>
      <c r="AA27" s="12" t="s">
        <v>197</v>
      </c>
      <c r="AB27" s="80"/>
      <c r="AC27" s="17"/>
      <c r="AD27" s="17"/>
    </row>
    <row r="28">
      <c r="A28" s="7">
        <v>33.0</v>
      </c>
      <c r="B28" s="7" t="s">
        <v>223</v>
      </c>
      <c r="C28" s="8" t="s">
        <v>225</v>
      </c>
      <c r="D28" s="13"/>
      <c r="E28" s="57" t="s">
        <v>401</v>
      </c>
      <c r="F28" s="9" t="str">
        <f t="shared" si="1"/>
        <v>AP</v>
      </c>
      <c r="G28" s="7" t="str">
        <f t="shared" si="2"/>
        <v>SMD-C-C2-AP</v>
      </c>
      <c r="H28" s="8" t="s">
        <v>225</v>
      </c>
      <c r="I28" s="7" t="s">
        <v>317</v>
      </c>
      <c r="J28" s="8" t="s">
        <v>301</v>
      </c>
      <c r="K28" s="57">
        <v>136.0</v>
      </c>
      <c r="L28" s="137">
        <v>900000.0</v>
      </c>
      <c r="M28" s="8" t="s">
        <v>296</v>
      </c>
      <c r="N28" s="57">
        <v>3.0</v>
      </c>
      <c r="O28" s="57">
        <v>3.0</v>
      </c>
      <c r="P28" s="12" t="s">
        <v>386</v>
      </c>
      <c r="Q28" s="57">
        <v>55.0</v>
      </c>
      <c r="R28" s="8" t="s">
        <v>307</v>
      </c>
      <c r="S28" s="8" t="s">
        <v>298</v>
      </c>
      <c r="T28" s="13"/>
      <c r="U28" s="14"/>
      <c r="V28" s="15"/>
      <c r="W28" s="16"/>
      <c r="X28" s="71" t="s">
        <v>226</v>
      </c>
      <c r="Y28" s="8" t="s">
        <v>364</v>
      </c>
      <c r="Z28" s="8" t="s">
        <v>87</v>
      </c>
      <c r="AA28" s="12" t="s">
        <v>197</v>
      </c>
      <c r="AB28" s="80"/>
      <c r="AC28" s="17"/>
      <c r="AD28" s="17"/>
    </row>
    <row r="29">
      <c r="A29" s="7">
        <v>33.0</v>
      </c>
      <c r="B29" s="7" t="s">
        <v>223</v>
      </c>
      <c r="C29" s="8" t="s">
        <v>225</v>
      </c>
      <c r="D29" s="13"/>
      <c r="E29" s="57" t="s">
        <v>402</v>
      </c>
      <c r="F29" s="9" t="str">
        <f t="shared" si="1"/>
        <v>AP</v>
      </c>
      <c r="G29" s="7" t="str">
        <f t="shared" si="2"/>
        <v>SMD-C-C3-AP</v>
      </c>
      <c r="H29" s="8" t="s">
        <v>225</v>
      </c>
      <c r="I29" s="7" t="s">
        <v>317</v>
      </c>
      <c r="J29" s="8" t="s">
        <v>301</v>
      </c>
      <c r="K29" s="57">
        <v>108.0</v>
      </c>
      <c r="L29" s="137">
        <v>760000.0</v>
      </c>
      <c r="M29" s="8" t="s">
        <v>296</v>
      </c>
      <c r="N29" s="57">
        <v>2.0</v>
      </c>
      <c r="O29" s="57">
        <v>3.0</v>
      </c>
      <c r="P29" s="12" t="s">
        <v>379</v>
      </c>
      <c r="Q29" s="57">
        <v>18.0</v>
      </c>
      <c r="R29" s="8" t="s">
        <v>307</v>
      </c>
      <c r="S29" s="8" t="s">
        <v>298</v>
      </c>
      <c r="T29" s="13"/>
      <c r="U29" s="14"/>
      <c r="V29" s="15"/>
      <c r="W29" s="16"/>
      <c r="X29" s="71" t="s">
        <v>226</v>
      </c>
      <c r="Y29" s="8" t="s">
        <v>364</v>
      </c>
      <c r="Z29" s="8" t="s">
        <v>87</v>
      </c>
      <c r="AA29" s="12" t="s">
        <v>197</v>
      </c>
      <c r="AB29" s="80"/>
      <c r="AC29" s="17"/>
      <c r="AD29" s="17"/>
    </row>
    <row r="30">
      <c r="A30" s="7">
        <v>33.0</v>
      </c>
      <c r="B30" s="7" t="s">
        <v>223</v>
      </c>
      <c r="C30" s="8" t="s">
        <v>225</v>
      </c>
      <c r="D30" s="13"/>
      <c r="E30" s="57" t="s">
        <v>403</v>
      </c>
      <c r="F30" s="9" t="str">
        <f t="shared" si="1"/>
        <v>AP</v>
      </c>
      <c r="G30" s="7" t="str">
        <f t="shared" si="2"/>
        <v>SMD-C-C4-AP</v>
      </c>
      <c r="H30" s="8" t="s">
        <v>225</v>
      </c>
      <c r="I30" s="7" t="s">
        <v>317</v>
      </c>
      <c r="J30" s="8" t="s">
        <v>301</v>
      </c>
      <c r="K30" s="57">
        <v>136.0</v>
      </c>
      <c r="L30" s="137">
        <v>820000.0</v>
      </c>
      <c r="M30" s="8" t="s">
        <v>296</v>
      </c>
      <c r="N30" s="57">
        <v>3.0</v>
      </c>
      <c r="O30" s="57">
        <v>3.0</v>
      </c>
      <c r="P30" s="12" t="s">
        <v>363</v>
      </c>
      <c r="Q30" s="80"/>
      <c r="R30" s="8" t="s">
        <v>307</v>
      </c>
      <c r="S30" s="8" t="s">
        <v>308</v>
      </c>
      <c r="T30" s="13"/>
      <c r="U30" s="14"/>
      <c r="V30" s="15"/>
      <c r="W30" s="16"/>
      <c r="X30" s="71" t="s">
        <v>226</v>
      </c>
      <c r="Y30" s="8" t="s">
        <v>364</v>
      </c>
      <c r="Z30" s="8" t="s">
        <v>87</v>
      </c>
      <c r="AA30" s="12" t="s">
        <v>197</v>
      </c>
      <c r="AB30" s="57" t="s">
        <v>370</v>
      </c>
      <c r="AC30" s="17"/>
      <c r="AD30" s="17"/>
    </row>
    <row r="31">
      <c r="A31" s="7">
        <v>33.0</v>
      </c>
      <c r="B31" s="7" t="s">
        <v>223</v>
      </c>
      <c r="C31" s="8" t="s">
        <v>225</v>
      </c>
      <c r="D31" s="13"/>
      <c r="E31" s="57" t="s">
        <v>404</v>
      </c>
      <c r="F31" s="9" t="str">
        <f t="shared" si="1"/>
        <v>AP</v>
      </c>
      <c r="G31" s="7" t="str">
        <f t="shared" si="2"/>
        <v>SMD-C-C5-AP</v>
      </c>
      <c r="H31" s="8" t="s">
        <v>225</v>
      </c>
      <c r="I31" s="7" t="s">
        <v>317</v>
      </c>
      <c r="J31" s="8" t="s">
        <v>301</v>
      </c>
      <c r="K31" s="57">
        <v>136.0</v>
      </c>
      <c r="L31" s="137">
        <v>820000.0</v>
      </c>
      <c r="M31" s="8" t="s">
        <v>296</v>
      </c>
      <c r="N31" s="57">
        <v>3.0</v>
      </c>
      <c r="O31" s="57">
        <v>3.0</v>
      </c>
      <c r="P31" s="12" t="s">
        <v>363</v>
      </c>
      <c r="Q31" s="80"/>
      <c r="R31" s="8" t="s">
        <v>307</v>
      </c>
      <c r="S31" s="8" t="s">
        <v>308</v>
      </c>
      <c r="T31" s="13"/>
      <c r="U31" s="14"/>
      <c r="V31" s="15"/>
      <c r="W31" s="16"/>
      <c r="X31" s="71" t="s">
        <v>226</v>
      </c>
      <c r="Y31" s="8" t="s">
        <v>364</v>
      </c>
      <c r="Z31" s="8" t="s">
        <v>87</v>
      </c>
      <c r="AA31" s="12" t="s">
        <v>197</v>
      </c>
      <c r="AB31" s="57" t="s">
        <v>372</v>
      </c>
      <c r="AC31" s="17"/>
      <c r="AD31" s="17"/>
    </row>
    <row r="32">
      <c r="A32" s="7">
        <v>33.0</v>
      </c>
      <c r="B32" s="7" t="s">
        <v>223</v>
      </c>
      <c r="C32" s="8" t="s">
        <v>225</v>
      </c>
      <c r="D32" s="13"/>
      <c r="E32" s="57" t="s">
        <v>405</v>
      </c>
      <c r="F32" s="9" t="str">
        <f t="shared" si="1"/>
        <v>AP</v>
      </c>
      <c r="G32" s="7" t="str">
        <f t="shared" si="2"/>
        <v>SMD-C-C6-AP</v>
      </c>
      <c r="H32" s="8" t="s">
        <v>225</v>
      </c>
      <c r="I32" s="7" t="s">
        <v>317</v>
      </c>
      <c r="J32" s="8" t="s">
        <v>301</v>
      </c>
      <c r="K32" s="57">
        <v>148.0</v>
      </c>
      <c r="L32" s="137">
        <v>850000.0</v>
      </c>
      <c r="M32" s="8" t="s">
        <v>296</v>
      </c>
      <c r="N32" s="57">
        <v>3.0</v>
      </c>
      <c r="O32" s="57">
        <v>3.0</v>
      </c>
      <c r="P32" s="12" t="s">
        <v>363</v>
      </c>
      <c r="Q32" s="80"/>
      <c r="R32" s="8" t="s">
        <v>307</v>
      </c>
      <c r="S32" s="8" t="s">
        <v>308</v>
      </c>
      <c r="T32" s="13"/>
      <c r="U32" s="14"/>
      <c r="V32" s="15"/>
      <c r="W32" s="16"/>
      <c r="X32" s="71" t="s">
        <v>226</v>
      </c>
      <c r="Y32" s="8" t="s">
        <v>364</v>
      </c>
      <c r="Z32" s="8" t="s">
        <v>87</v>
      </c>
      <c r="AA32" s="12" t="s">
        <v>197</v>
      </c>
      <c r="AB32" s="57" t="s">
        <v>374</v>
      </c>
      <c r="AC32" s="17"/>
      <c r="AD32" s="17"/>
    </row>
    <row r="33">
      <c r="A33" s="7">
        <v>33.0</v>
      </c>
      <c r="B33" s="7" t="s">
        <v>223</v>
      </c>
      <c r="C33" s="8" t="s">
        <v>225</v>
      </c>
      <c r="D33" s="13"/>
      <c r="E33" s="57" t="s">
        <v>406</v>
      </c>
      <c r="F33" s="9" t="str">
        <f t="shared" si="1"/>
        <v>AP</v>
      </c>
      <c r="G33" s="7" t="str">
        <f t="shared" si="2"/>
        <v>SMD-C-C7-AP</v>
      </c>
      <c r="H33" s="8" t="s">
        <v>225</v>
      </c>
      <c r="I33" s="7" t="s">
        <v>317</v>
      </c>
      <c r="J33" s="8" t="s">
        <v>301</v>
      </c>
      <c r="K33" s="57">
        <v>136.0</v>
      </c>
      <c r="L33" s="137">
        <v>820000.0</v>
      </c>
      <c r="M33" s="8" t="s">
        <v>296</v>
      </c>
      <c r="N33" s="57">
        <v>3.0</v>
      </c>
      <c r="O33" s="57">
        <v>3.0</v>
      </c>
      <c r="P33" s="12" t="s">
        <v>363</v>
      </c>
      <c r="Q33" s="80"/>
      <c r="R33" s="8" t="s">
        <v>307</v>
      </c>
      <c r="S33" s="8" t="s">
        <v>318</v>
      </c>
      <c r="T33" s="13"/>
      <c r="U33" s="14"/>
      <c r="V33" s="15"/>
      <c r="W33" s="16"/>
      <c r="X33" s="71" t="s">
        <v>226</v>
      </c>
      <c r="Y33" s="8" t="s">
        <v>364</v>
      </c>
      <c r="Z33" s="8" t="s">
        <v>87</v>
      </c>
      <c r="AA33" s="12" t="s">
        <v>197</v>
      </c>
      <c r="AB33" s="57" t="s">
        <v>370</v>
      </c>
      <c r="AC33" s="17"/>
      <c r="AD33" s="17"/>
    </row>
    <row r="34">
      <c r="A34" s="7">
        <v>33.0</v>
      </c>
      <c r="B34" s="7" t="s">
        <v>223</v>
      </c>
      <c r="C34" s="8" t="s">
        <v>225</v>
      </c>
      <c r="D34" s="13"/>
      <c r="E34" s="57" t="s">
        <v>407</v>
      </c>
      <c r="F34" s="9" t="str">
        <f t="shared" si="1"/>
        <v>AP</v>
      </c>
      <c r="G34" s="7" t="str">
        <f t="shared" si="2"/>
        <v>SMD-C-C8-AP</v>
      </c>
      <c r="H34" s="8" t="s">
        <v>225</v>
      </c>
      <c r="I34" s="7" t="s">
        <v>317</v>
      </c>
      <c r="J34" s="8" t="s">
        <v>301</v>
      </c>
      <c r="K34" s="57">
        <v>130.0</v>
      </c>
      <c r="L34" s="137">
        <v>810000.0</v>
      </c>
      <c r="M34" s="8" t="s">
        <v>296</v>
      </c>
      <c r="N34" s="57">
        <v>3.0</v>
      </c>
      <c r="O34" s="57">
        <v>3.0</v>
      </c>
      <c r="P34" s="12" t="s">
        <v>363</v>
      </c>
      <c r="Q34" s="80"/>
      <c r="R34" s="8" t="s">
        <v>307</v>
      </c>
      <c r="S34" s="8" t="s">
        <v>318</v>
      </c>
      <c r="T34" s="13"/>
      <c r="U34" s="14"/>
      <c r="V34" s="15"/>
      <c r="W34" s="16"/>
      <c r="X34" s="71" t="s">
        <v>226</v>
      </c>
      <c r="Y34" s="8" t="s">
        <v>364</v>
      </c>
      <c r="Z34" s="8" t="s">
        <v>87</v>
      </c>
      <c r="AA34" s="12" t="s">
        <v>197</v>
      </c>
      <c r="AB34" s="57" t="s">
        <v>372</v>
      </c>
      <c r="AC34" s="17"/>
      <c r="AD34" s="17"/>
    </row>
    <row r="35">
      <c r="A35" s="7">
        <v>33.0</v>
      </c>
      <c r="B35" s="7" t="s">
        <v>223</v>
      </c>
      <c r="C35" s="8" t="s">
        <v>225</v>
      </c>
      <c r="D35" s="13"/>
      <c r="E35" s="57" t="s">
        <v>408</v>
      </c>
      <c r="F35" s="9" t="str">
        <f t="shared" si="1"/>
        <v>AP</v>
      </c>
      <c r="G35" s="7" t="str">
        <f t="shared" si="2"/>
        <v>SMD-C-C9-AP</v>
      </c>
      <c r="H35" s="8" t="s">
        <v>225</v>
      </c>
      <c r="I35" s="7" t="s">
        <v>317</v>
      </c>
      <c r="J35" s="8" t="s">
        <v>301</v>
      </c>
      <c r="K35" s="57">
        <v>149.0</v>
      </c>
      <c r="L35" s="137">
        <v>850000.0</v>
      </c>
      <c r="M35" s="8" t="s">
        <v>296</v>
      </c>
      <c r="N35" s="57">
        <v>3.0</v>
      </c>
      <c r="O35" s="57">
        <v>3.0</v>
      </c>
      <c r="P35" s="12" t="s">
        <v>363</v>
      </c>
      <c r="Q35" s="80"/>
      <c r="R35" s="8" t="s">
        <v>307</v>
      </c>
      <c r="S35" s="8" t="s">
        <v>318</v>
      </c>
      <c r="T35" s="13"/>
      <c r="U35" s="14"/>
      <c r="V35" s="15"/>
      <c r="W35" s="16"/>
      <c r="X35" s="71" t="s">
        <v>226</v>
      </c>
      <c r="Y35" s="8" t="s">
        <v>364</v>
      </c>
      <c r="Z35" s="8" t="s">
        <v>87</v>
      </c>
      <c r="AA35" s="12" t="s">
        <v>197</v>
      </c>
      <c r="AB35" s="57" t="s">
        <v>374</v>
      </c>
      <c r="AC35" s="17"/>
      <c r="AD35" s="17"/>
    </row>
    <row r="36">
      <c r="A36" s="7">
        <v>33.0</v>
      </c>
      <c r="B36" s="7" t="s">
        <v>223</v>
      </c>
      <c r="C36" s="8" t="s">
        <v>225</v>
      </c>
      <c r="D36" s="13"/>
      <c r="E36" s="57" t="s">
        <v>409</v>
      </c>
      <c r="F36" s="9" t="str">
        <f t="shared" si="1"/>
        <v>AP</v>
      </c>
      <c r="G36" s="7" t="str">
        <f t="shared" si="2"/>
        <v>SMD-C-C10-AP</v>
      </c>
      <c r="H36" s="8" t="s">
        <v>225</v>
      </c>
      <c r="I36" s="7" t="s">
        <v>317</v>
      </c>
      <c r="J36" s="8" t="s">
        <v>301</v>
      </c>
      <c r="K36" s="57">
        <v>110.0</v>
      </c>
      <c r="L36" s="137">
        <v>830000.0</v>
      </c>
      <c r="M36" s="8" t="s">
        <v>296</v>
      </c>
      <c r="N36" s="57">
        <v>2.0</v>
      </c>
      <c r="O36" s="57">
        <v>3.0</v>
      </c>
      <c r="P36" s="12" t="s">
        <v>383</v>
      </c>
      <c r="Q36" s="80"/>
      <c r="R36" s="8" t="s">
        <v>307</v>
      </c>
      <c r="S36" s="8" t="s">
        <v>380</v>
      </c>
      <c r="T36" s="13"/>
      <c r="U36" s="14"/>
      <c r="V36" s="15"/>
      <c r="W36" s="16" t="s">
        <v>410</v>
      </c>
      <c r="X36" s="71" t="s">
        <v>226</v>
      </c>
      <c r="Y36" s="8" t="s">
        <v>364</v>
      </c>
      <c r="Z36" s="8" t="s">
        <v>87</v>
      </c>
      <c r="AA36" s="12" t="s">
        <v>197</v>
      </c>
      <c r="AB36" s="57" t="s">
        <v>370</v>
      </c>
      <c r="AC36" s="17"/>
      <c r="AD36" s="17"/>
    </row>
    <row r="37">
      <c r="A37" s="7">
        <v>33.0</v>
      </c>
      <c r="B37" s="7" t="s">
        <v>223</v>
      </c>
      <c r="C37" s="8" t="s">
        <v>225</v>
      </c>
      <c r="D37" s="13"/>
      <c r="E37" s="57" t="s">
        <v>411</v>
      </c>
      <c r="F37" s="9" t="str">
        <f t="shared" si="1"/>
        <v>AP</v>
      </c>
      <c r="G37" s="7" t="str">
        <f t="shared" si="2"/>
        <v>SMD-C-C11-AP</v>
      </c>
      <c r="H37" s="8" t="s">
        <v>225</v>
      </c>
      <c r="I37" s="7" t="s">
        <v>317</v>
      </c>
      <c r="J37" s="8" t="s">
        <v>301</v>
      </c>
      <c r="K37" s="57">
        <v>100.0</v>
      </c>
      <c r="L37" s="137">
        <v>780000.0</v>
      </c>
      <c r="M37" s="8" t="s">
        <v>296</v>
      </c>
      <c r="N37" s="57">
        <v>2.0</v>
      </c>
      <c r="O37" s="57">
        <v>2.0</v>
      </c>
      <c r="P37" s="12" t="s">
        <v>383</v>
      </c>
      <c r="Q37" s="80"/>
      <c r="R37" s="8" t="s">
        <v>307</v>
      </c>
      <c r="S37" s="8" t="s">
        <v>380</v>
      </c>
      <c r="T37" s="13"/>
      <c r="U37" s="14"/>
      <c r="V37" s="15"/>
      <c r="W37" s="16" t="s">
        <v>410</v>
      </c>
      <c r="X37" s="71" t="s">
        <v>226</v>
      </c>
      <c r="Y37" s="8" t="s">
        <v>364</v>
      </c>
      <c r="Z37" s="8" t="s">
        <v>87</v>
      </c>
      <c r="AA37" s="12" t="s">
        <v>197</v>
      </c>
      <c r="AB37" s="57" t="s">
        <v>370</v>
      </c>
      <c r="AC37" s="17"/>
      <c r="AD37" s="17"/>
    </row>
  </sheetData>
  <dataValidations>
    <dataValidation type="list" allowBlank="1" showErrorMessage="1" sqref="J2:J37">
      <formula1>"دور,تاون هاوس,فيلا,شقة"</formula1>
    </dataValidation>
    <dataValidation type="list" allowBlank="1" showErrorMessage="1" sqref="M2:M37">
      <formula1>"تحت الإنشاء,متاحة,مباعة,محجوزة"</formula1>
    </dataValidation>
    <dataValidation type="list" allowBlank="1" showErrorMessage="1" sqref="P2:P37">
      <formula1>"صالة جلوس,مجلس,غرفة سائق,صالة طعام,غرفة خادمة,بلكونة,غرفة خدمات,فناء خارجي,غرفة غسيل,مطبخ"</formula1>
    </dataValidation>
    <dataValidation type="list" allowBlank="1" showErrorMessage="1" sqref="S2:S37">
      <formula1>"ارضي,اول,ثاني,ثالث,ملحق"</formula1>
    </dataValidation>
    <dataValidation type="list" allowBlank="1" showErrorMessage="1" sqref="W2:W37">
      <formula1>"زاوية,واجهة,موقف قبو,مدخلين,سطح خاص,مدخل خاص"</formula1>
    </dataValidation>
    <dataValidation type="list" allowBlank="1" showErrorMessage="1" sqref="AB2:AB37">
      <formula1>"امامية,خلفية"</formula1>
    </dataValidation>
    <dataValidation type="list" allowBlank="1" showErrorMessage="1" sqref="R2:R37">
      <formula1>"مؤسس,لا يوجد,جاهز"</formula1>
    </dataValidation>
    <dataValidation type="list" allowBlank="1" showErrorMessage="1" sqref="I2:I37">
      <formula1>"A,B,C,D,E,F,G"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4"/>
    <hyperlink r:id="rId14" ref="X15"/>
    <hyperlink r:id="rId15" ref="X16"/>
    <hyperlink r:id="rId16" ref="X17"/>
    <hyperlink r:id="rId17" ref="X18"/>
    <hyperlink r:id="rId18" ref="X19"/>
    <hyperlink r:id="rId19" ref="X20"/>
    <hyperlink r:id="rId20" ref="X21"/>
    <hyperlink r:id="rId21" ref="X22"/>
    <hyperlink r:id="rId22" ref="X23"/>
    <hyperlink r:id="rId23" ref="X24"/>
    <hyperlink r:id="rId24" ref="X25"/>
    <hyperlink r:id="rId25" ref="X26"/>
    <hyperlink r:id="rId26" ref="X27"/>
    <hyperlink r:id="rId27" ref="X28"/>
    <hyperlink r:id="rId28" ref="X29"/>
    <hyperlink r:id="rId29" ref="X30"/>
    <hyperlink r:id="rId30" ref="X31"/>
    <hyperlink r:id="rId31" ref="X32"/>
    <hyperlink r:id="rId32" ref="X33"/>
    <hyperlink r:id="rId33" ref="X34"/>
    <hyperlink r:id="rId34" ref="X35"/>
    <hyperlink r:id="rId35" ref="X36"/>
    <hyperlink r:id="rId36" ref="X37"/>
  </hyperlinks>
  <drawing r:id="rId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39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7">
        <v>1.0</v>
      </c>
      <c r="B2" s="7" t="s">
        <v>419</v>
      </c>
      <c r="C2" s="8"/>
      <c r="D2" s="7"/>
      <c r="E2" s="7" t="s">
        <v>292</v>
      </c>
      <c r="F2" s="9" t="str">
        <f t="shared" ref="F2:F7" si="1">IF(J2="دور","FL",
IF(J2="شقة","AP",
IF(J2="فيلا","VI",
IF(J2="تاون هاوس","TH",""))))
</f>
        <v>FL</v>
      </c>
      <c r="G2" s="7" t="str">
        <f t="shared" ref="G2:G7" si="2">B2&amp;"-"&amp;I2&amp;"-"&amp;E2&amp;"-"&amp;F2</f>
        <v>TNR-A-1-FL</v>
      </c>
      <c r="H2" s="8" t="s">
        <v>293</v>
      </c>
      <c r="I2" s="18" t="s">
        <v>294</v>
      </c>
      <c r="J2" s="8" t="s">
        <v>295</v>
      </c>
      <c r="K2" s="7">
        <v>258.0</v>
      </c>
      <c r="L2" s="10">
        <v>990000.0</v>
      </c>
      <c r="M2" s="8" t="s">
        <v>296</v>
      </c>
      <c r="N2" s="11">
        <v>3.0</v>
      </c>
      <c r="O2" s="7">
        <v>3.0</v>
      </c>
      <c r="P2" s="12" t="s">
        <v>89</v>
      </c>
      <c r="Q2" s="11"/>
      <c r="R2" s="8" t="s">
        <v>297</v>
      </c>
      <c r="S2" s="8" t="s">
        <v>298</v>
      </c>
      <c r="T2" s="13"/>
      <c r="U2" s="14">
        <v>194.0</v>
      </c>
      <c r="V2" s="15"/>
      <c r="W2" s="16"/>
      <c r="X2" s="17" t="s">
        <v>84</v>
      </c>
      <c r="Y2" s="18" t="s">
        <v>86</v>
      </c>
      <c r="Z2" s="8" t="s">
        <v>87</v>
      </c>
      <c r="AA2" s="12" t="s">
        <v>88</v>
      </c>
      <c r="AB2" s="17"/>
      <c r="AC2" s="17"/>
    </row>
    <row r="3">
      <c r="A3" s="7">
        <v>1.0</v>
      </c>
      <c r="B3" s="7" t="s">
        <v>419</v>
      </c>
      <c r="C3" s="8"/>
      <c r="D3" s="7"/>
      <c r="E3" s="7" t="s">
        <v>299</v>
      </c>
      <c r="F3" s="9" t="str">
        <f t="shared" si="1"/>
        <v>FL</v>
      </c>
      <c r="G3" s="7" t="str">
        <f t="shared" si="2"/>
        <v>TNR-A-2-FL</v>
      </c>
      <c r="H3" s="8" t="s">
        <v>293</v>
      </c>
      <c r="I3" s="18" t="s">
        <v>294</v>
      </c>
      <c r="J3" s="8" t="s">
        <v>295</v>
      </c>
      <c r="K3" s="7">
        <v>186.0</v>
      </c>
      <c r="L3" s="10">
        <v>800000.0</v>
      </c>
      <c r="M3" s="8" t="s">
        <v>296</v>
      </c>
      <c r="N3" s="11">
        <v>3.0</v>
      </c>
      <c r="O3" s="7">
        <v>3.0</v>
      </c>
      <c r="P3" s="8" t="s">
        <v>89</v>
      </c>
      <c r="Q3" s="11"/>
      <c r="R3" s="8" t="s">
        <v>297</v>
      </c>
      <c r="S3" s="8" t="s">
        <v>298</v>
      </c>
      <c r="T3" s="13"/>
      <c r="U3" s="14">
        <v>186.0</v>
      </c>
      <c r="V3" s="15"/>
      <c r="W3" s="16"/>
      <c r="X3" s="17" t="s">
        <v>84</v>
      </c>
      <c r="Y3" s="18" t="s">
        <v>86</v>
      </c>
      <c r="Z3" s="8" t="s">
        <v>87</v>
      </c>
      <c r="AA3" s="12" t="s">
        <v>88</v>
      </c>
      <c r="AB3" s="17"/>
      <c r="AC3" s="17"/>
    </row>
    <row r="4">
      <c r="A4" s="7">
        <v>1.0</v>
      </c>
      <c r="B4" s="7" t="s">
        <v>419</v>
      </c>
      <c r="C4" s="8"/>
      <c r="D4" s="7"/>
      <c r="E4" s="7" t="s">
        <v>300</v>
      </c>
      <c r="F4" s="9" t="str">
        <f t="shared" si="1"/>
        <v>AP</v>
      </c>
      <c r="G4" s="7" t="str">
        <f t="shared" si="2"/>
        <v>TNR-A-3-AP</v>
      </c>
      <c r="H4" s="8" t="s">
        <v>293</v>
      </c>
      <c r="I4" s="18" t="s">
        <v>294</v>
      </c>
      <c r="J4" s="8" t="s">
        <v>301</v>
      </c>
      <c r="K4" s="7">
        <v>186.0</v>
      </c>
      <c r="L4" s="10">
        <v>600000.0</v>
      </c>
      <c r="M4" s="8" t="s">
        <v>296</v>
      </c>
      <c r="N4" s="131">
        <v>2.0</v>
      </c>
      <c r="O4" s="7">
        <v>2.0</v>
      </c>
      <c r="P4" s="8" t="s">
        <v>89</v>
      </c>
      <c r="Q4" s="11"/>
      <c r="R4" s="8" t="s">
        <v>297</v>
      </c>
      <c r="S4" s="8" t="s">
        <v>298</v>
      </c>
      <c r="T4" s="13"/>
      <c r="U4" s="14">
        <v>130.0</v>
      </c>
      <c r="V4" s="15"/>
      <c r="W4" s="16"/>
      <c r="X4" s="17" t="s">
        <v>84</v>
      </c>
      <c r="Y4" s="18" t="s">
        <v>86</v>
      </c>
      <c r="Z4" s="8" t="s">
        <v>87</v>
      </c>
      <c r="AA4" s="12" t="s">
        <v>88</v>
      </c>
      <c r="AB4" s="17"/>
      <c r="AC4" s="17"/>
    </row>
    <row r="5">
      <c r="A5" s="7">
        <v>1.0</v>
      </c>
      <c r="B5" s="7" t="s">
        <v>419</v>
      </c>
      <c r="C5" s="8"/>
      <c r="D5" s="7"/>
      <c r="E5" s="7" t="s">
        <v>302</v>
      </c>
      <c r="F5" s="9" t="str">
        <f t="shared" si="1"/>
        <v>FL</v>
      </c>
      <c r="G5" s="7" t="str">
        <f t="shared" si="2"/>
        <v>TNR-B-4-FL</v>
      </c>
      <c r="H5" s="8" t="s">
        <v>293</v>
      </c>
      <c r="I5" s="7" t="s">
        <v>303</v>
      </c>
      <c r="J5" s="8" t="s">
        <v>295</v>
      </c>
      <c r="K5" s="7">
        <v>258.0</v>
      </c>
      <c r="L5" s="10">
        <v>990000.0</v>
      </c>
      <c r="M5" s="8" t="s">
        <v>296</v>
      </c>
      <c r="N5" s="11">
        <v>3.0</v>
      </c>
      <c r="O5" s="7">
        <v>3.0</v>
      </c>
      <c r="P5" s="8" t="s">
        <v>89</v>
      </c>
      <c r="Q5" s="11"/>
      <c r="R5" s="8" t="s">
        <v>297</v>
      </c>
      <c r="S5" s="8" t="s">
        <v>298</v>
      </c>
      <c r="T5" s="13"/>
      <c r="U5" s="14">
        <v>194.0</v>
      </c>
      <c r="V5" s="15"/>
      <c r="W5" s="16"/>
      <c r="X5" s="17" t="s">
        <v>84</v>
      </c>
      <c r="Y5" s="18" t="s">
        <v>86</v>
      </c>
      <c r="Z5" s="8" t="s">
        <v>87</v>
      </c>
      <c r="AA5" s="12" t="s">
        <v>88</v>
      </c>
      <c r="AB5" s="17"/>
      <c r="AC5" s="17"/>
    </row>
    <row r="6">
      <c r="A6" s="7">
        <v>1.0</v>
      </c>
      <c r="B6" s="7" t="s">
        <v>419</v>
      </c>
      <c r="C6" s="8"/>
      <c r="D6" s="7"/>
      <c r="E6" s="7" t="s">
        <v>304</v>
      </c>
      <c r="F6" s="9" t="str">
        <f t="shared" si="1"/>
        <v>FL</v>
      </c>
      <c r="G6" s="7" t="str">
        <f t="shared" si="2"/>
        <v>TNR-B-5-FL</v>
      </c>
      <c r="H6" s="8" t="s">
        <v>293</v>
      </c>
      <c r="I6" s="7" t="s">
        <v>303</v>
      </c>
      <c r="J6" s="8" t="s">
        <v>295</v>
      </c>
      <c r="K6" s="7">
        <v>186.0</v>
      </c>
      <c r="L6" s="10">
        <v>800000.0</v>
      </c>
      <c r="M6" s="8" t="s">
        <v>296</v>
      </c>
      <c r="N6" s="11">
        <v>3.0</v>
      </c>
      <c r="O6" s="7">
        <v>3.0</v>
      </c>
      <c r="P6" s="8" t="s">
        <v>89</v>
      </c>
      <c r="Q6" s="11"/>
      <c r="R6" s="8" t="s">
        <v>297</v>
      </c>
      <c r="S6" s="8" t="s">
        <v>298</v>
      </c>
      <c r="T6" s="13"/>
      <c r="U6" s="14">
        <v>186.0</v>
      </c>
      <c r="V6" s="15"/>
      <c r="W6" s="16"/>
      <c r="X6" s="17" t="s">
        <v>84</v>
      </c>
      <c r="Y6" s="18" t="s">
        <v>86</v>
      </c>
      <c r="Z6" s="8" t="s">
        <v>87</v>
      </c>
      <c r="AA6" s="12" t="s">
        <v>88</v>
      </c>
      <c r="AB6" s="17"/>
      <c r="AC6" s="17"/>
    </row>
    <row r="7">
      <c r="A7" s="7">
        <v>1.0</v>
      </c>
      <c r="B7" s="7" t="s">
        <v>419</v>
      </c>
      <c r="C7" s="8"/>
      <c r="D7" s="7"/>
      <c r="E7" s="7" t="s">
        <v>305</v>
      </c>
      <c r="F7" s="9" t="str">
        <f t="shared" si="1"/>
        <v>AP</v>
      </c>
      <c r="G7" s="7" t="str">
        <f t="shared" si="2"/>
        <v>TNR-B-6-AP</v>
      </c>
      <c r="H7" s="8" t="s">
        <v>293</v>
      </c>
      <c r="I7" s="7" t="s">
        <v>303</v>
      </c>
      <c r="J7" s="8" t="s">
        <v>301</v>
      </c>
      <c r="K7" s="7">
        <v>186.0</v>
      </c>
      <c r="L7" s="10">
        <v>600000.0</v>
      </c>
      <c r="M7" s="8" t="s">
        <v>296</v>
      </c>
      <c r="N7" s="131">
        <v>2.0</v>
      </c>
      <c r="O7" s="7">
        <v>2.0</v>
      </c>
      <c r="P7" s="8" t="s">
        <v>89</v>
      </c>
      <c r="Q7" s="11"/>
      <c r="R7" s="8" t="s">
        <v>297</v>
      </c>
      <c r="S7" s="8" t="s">
        <v>298</v>
      </c>
      <c r="T7" s="13"/>
      <c r="U7" s="14">
        <v>130.0</v>
      </c>
      <c r="V7" s="15"/>
      <c r="W7" s="16"/>
      <c r="X7" s="17" t="s">
        <v>84</v>
      </c>
      <c r="Y7" s="18" t="s">
        <v>86</v>
      </c>
      <c r="Z7" s="8" t="s">
        <v>87</v>
      </c>
      <c r="AA7" s="12" t="s">
        <v>88</v>
      </c>
      <c r="AB7" s="17"/>
      <c r="AC7" s="17"/>
    </row>
  </sheetData>
  <dataValidations>
    <dataValidation type="list" allowBlank="1" showErrorMessage="1" sqref="P2:P7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M2:M7">
      <formula1>"تحت الإنشاء,متاحة,مباعة,محجوزة"</formula1>
    </dataValidation>
    <dataValidation type="list" allowBlank="1" showErrorMessage="1" sqref="R2:R7">
      <formula1>"مؤسس,لا يوجد,جاهز"</formula1>
    </dataValidation>
    <dataValidation type="list" allowBlank="1" showErrorMessage="1" sqref="S2:S7">
      <formula1>"ارضي,اول,ثاني,ثالث"</formula1>
    </dataValidation>
    <dataValidation type="list" allowBlank="1" showErrorMessage="1" sqref="W2:W7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7">
        <v>2.0</v>
      </c>
      <c r="B2" s="7" t="s">
        <v>420</v>
      </c>
      <c r="C2" s="8"/>
      <c r="D2" s="7"/>
      <c r="E2" s="7">
        <v>1.0</v>
      </c>
      <c r="F2" s="9" t="str">
        <f t="shared" ref="F2:F7" si="1">IF(J2="دور","FL",
IF(J2="شقة","AP",
IF(J2="فيلا","VI",
IF(J2="تاون هاوس","TH",""))))
</f>
        <v>FL</v>
      </c>
      <c r="G2" s="7" t="str">
        <f t="shared" ref="G2:G7" si="2">B2&amp;"-"&amp;I2&amp;"-"&amp;E2&amp;"-"&amp;F2</f>
        <v>TRR-A-1-FL</v>
      </c>
      <c r="H2" s="8" t="s">
        <v>92</v>
      </c>
      <c r="I2" s="7" t="s">
        <v>294</v>
      </c>
      <c r="J2" s="8" t="s">
        <v>295</v>
      </c>
      <c r="K2" s="7">
        <v>259.0</v>
      </c>
      <c r="L2" s="10">
        <v>990000.0</v>
      </c>
      <c r="M2" s="8" t="s">
        <v>306</v>
      </c>
      <c r="N2" s="131"/>
      <c r="O2" s="7"/>
      <c r="P2" s="8" t="s">
        <v>89</v>
      </c>
      <c r="Q2" s="11"/>
      <c r="R2" s="8" t="s">
        <v>307</v>
      </c>
      <c r="S2" s="8" t="s">
        <v>298</v>
      </c>
      <c r="T2" s="13"/>
      <c r="U2" s="135" t="s">
        <v>421</v>
      </c>
      <c r="V2" s="15"/>
      <c r="W2" s="16"/>
      <c r="X2" s="17" t="s">
        <v>93</v>
      </c>
      <c r="Y2" s="18" t="s">
        <v>86</v>
      </c>
      <c r="Z2" s="8" t="s">
        <v>87</v>
      </c>
      <c r="AA2" s="12" t="s">
        <v>88</v>
      </c>
      <c r="AB2" s="17"/>
      <c r="AC2" s="17"/>
    </row>
    <row r="3">
      <c r="A3" s="7">
        <v>2.0</v>
      </c>
      <c r="B3" s="7" t="s">
        <v>420</v>
      </c>
      <c r="C3" s="8"/>
      <c r="D3" s="7"/>
      <c r="E3" s="7">
        <v>2.0</v>
      </c>
      <c r="F3" s="9" t="str">
        <f t="shared" si="1"/>
        <v>FL</v>
      </c>
      <c r="G3" s="7" t="str">
        <f t="shared" si="2"/>
        <v>TRR-A-2-FL</v>
      </c>
      <c r="H3" s="8" t="s">
        <v>92</v>
      </c>
      <c r="I3" s="7" t="s">
        <v>294</v>
      </c>
      <c r="J3" s="8" t="s">
        <v>295</v>
      </c>
      <c r="K3" s="7" t="s">
        <v>422</v>
      </c>
      <c r="L3" s="10">
        <v>829000.0</v>
      </c>
      <c r="M3" s="8" t="s">
        <v>296</v>
      </c>
      <c r="N3" s="131"/>
      <c r="O3" s="7"/>
      <c r="P3" s="8" t="s">
        <v>89</v>
      </c>
      <c r="Q3" s="11"/>
      <c r="R3" s="8" t="s">
        <v>307</v>
      </c>
      <c r="S3" s="8" t="s">
        <v>308</v>
      </c>
      <c r="T3" s="13"/>
      <c r="U3" s="135" t="s">
        <v>423</v>
      </c>
      <c r="V3" s="15"/>
      <c r="W3" s="16"/>
      <c r="X3" s="17" t="s">
        <v>93</v>
      </c>
      <c r="Y3" s="18" t="s">
        <v>86</v>
      </c>
      <c r="Z3" s="8" t="s">
        <v>87</v>
      </c>
      <c r="AA3" s="12" t="s">
        <v>88</v>
      </c>
      <c r="AB3" s="17"/>
      <c r="AC3" s="17"/>
    </row>
    <row r="4">
      <c r="A4" s="7">
        <v>2.0</v>
      </c>
      <c r="B4" s="7" t="s">
        <v>420</v>
      </c>
      <c r="C4" s="8"/>
      <c r="D4" s="7"/>
      <c r="E4" s="7">
        <v>3.0</v>
      </c>
      <c r="F4" s="9" t="str">
        <f t="shared" si="1"/>
        <v>AP</v>
      </c>
      <c r="G4" s="7" t="str">
        <f t="shared" si="2"/>
        <v>TRR-A-3-AP</v>
      </c>
      <c r="H4" s="8" t="s">
        <v>92</v>
      </c>
      <c r="I4" s="7" t="s">
        <v>294</v>
      </c>
      <c r="J4" s="8" t="s">
        <v>301</v>
      </c>
      <c r="K4" s="7">
        <v>203.0</v>
      </c>
      <c r="L4" s="10">
        <v>750000.0</v>
      </c>
      <c r="M4" s="8" t="s">
        <v>306</v>
      </c>
      <c r="N4" s="131"/>
      <c r="O4" s="7"/>
      <c r="P4" s="8" t="s">
        <v>89</v>
      </c>
      <c r="Q4" s="11"/>
      <c r="R4" s="8" t="s">
        <v>307</v>
      </c>
      <c r="S4" s="8"/>
      <c r="T4" s="13"/>
      <c r="U4" s="135" t="s">
        <v>424</v>
      </c>
      <c r="V4" s="15"/>
      <c r="W4" s="16"/>
      <c r="X4" s="17" t="s">
        <v>93</v>
      </c>
      <c r="Y4" s="18" t="s">
        <v>86</v>
      </c>
      <c r="Z4" s="8" t="s">
        <v>87</v>
      </c>
      <c r="AA4" s="12" t="s">
        <v>88</v>
      </c>
      <c r="AB4" s="17"/>
      <c r="AC4" s="17"/>
    </row>
    <row r="5">
      <c r="A5" s="7">
        <v>2.0</v>
      </c>
      <c r="B5" s="7" t="s">
        <v>420</v>
      </c>
      <c r="C5" s="8"/>
      <c r="D5" s="7"/>
      <c r="E5" s="7">
        <v>4.0</v>
      </c>
      <c r="F5" s="9" t="str">
        <f t="shared" si="1"/>
        <v>FL</v>
      </c>
      <c r="G5" s="7" t="str">
        <f t="shared" si="2"/>
        <v>TRR-B-4-FL</v>
      </c>
      <c r="H5" s="8" t="s">
        <v>92</v>
      </c>
      <c r="I5" s="7" t="s">
        <v>303</v>
      </c>
      <c r="J5" s="8" t="s">
        <v>295</v>
      </c>
      <c r="K5" s="7">
        <v>259.0</v>
      </c>
      <c r="L5" s="10">
        <v>990000.0</v>
      </c>
      <c r="M5" s="8" t="s">
        <v>296</v>
      </c>
      <c r="N5" s="131"/>
      <c r="O5" s="7"/>
      <c r="P5" s="8" t="s">
        <v>89</v>
      </c>
      <c r="Q5" s="11"/>
      <c r="R5" s="8" t="s">
        <v>307</v>
      </c>
      <c r="S5" s="8" t="s">
        <v>298</v>
      </c>
      <c r="T5" s="13"/>
      <c r="U5" s="135" t="s">
        <v>421</v>
      </c>
      <c r="V5" s="15"/>
      <c r="W5" s="16"/>
      <c r="X5" s="17" t="s">
        <v>93</v>
      </c>
      <c r="Y5" s="18" t="s">
        <v>86</v>
      </c>
      <c r="Z5" s="8" t="s">
        <v>87</v>
      </c>
      <c r="AA5" s="12" t="s">
        <v>88</v>
      </c>
      <c r="AB5" s="17"/>
      <c r="AC5" s="17"/>
    </row>
    <row r="6">
      <c r="A6" s="7">
        <v>2.0</v>
      </c>
      <c r="B6" s="7" t="s">
        <v>420</v>
      </c>
      <c r="C6" s="8"/>
      <c r="D6" s="7"/>
      <c r="E6" s="7">
        <v>5.0</v>
      </c>
      <c r="F6" s="9" t="str">
        <f t="shared" si="1"/>
        <v>FL</v>
      </c>
      <c r="G6" s="7" t="str">
        <f t="shared" si="2"/>
        <v>TRR-B-5-FL</v>
      </c>
      <c r="H6" s="8" t="s">
        <v>92</v>
      </c>
      <c r="I6" s="7" t="s">
        <v>303</v>
      </c>
      <c r="J6" s="8" t="s">
        <v>295</v>
      </c>
      <c r="K6" s="7" t="s">
        <v>422</v>
      </c>
      <c r="L6" s="10">
        <v>829000.0</v>
      </c>
      <c r="M6" s="8" t="s">
        <v>296</v>
      </c>
      <c r="N6" s="131"/>
      <c r="O6" s="7"/>
      <c r="P6" s="8" t="s">
        <v>89</v>
      </c>
      <c r="Q6" s="11"/>
      <c r="R6" s="8" t="s">
        <v>307</v>
      </c>
      <c r="S6" s="8" t="s">
        <v>308</v>
      </c>
      <c r="T6" s="13"/>
      <c r="U6" s="135" t="s">
        <v>423</v>
      </c>
      <c r="V6" s="15"/>
      <c r="W6" s="16"/>
      <c r="X6" s="17" t="s">
        <v>93</v>
      </c>
      <c r="Y6" s="18" t="s">
        <v>86</v>
      </c>
      <c r="Z6" s="8" t="s">
        <v>87</v>
      </c>
      <c r="AA6" s="12" t="s">
        <v>88</v>
      </c>
      <c r="AB6" s="17"/>
      <c r="AC6" s="17"/>
    </row>
    <row r="7">
      <c r="A7" s="7">
        <v>2.0</v>
      </c>
      <c r="B7" s="7" t="s">
        <v>420</v>
      </c>
      <c r="C7" s="8"/>
      <c r="D7" s="7"/>
      <c r="E7" s="7">
        <v>6.0</v>
      </c>
      <c r="F7" s="9" t="str">
        <f t="shared" si="1"/>
        <v>AP</v>
      </c>
      <c r="G7" s="7" t="str">
        <f t="shared" si="2"/>
        <v>TRR-B-6-AP</v>
      </c>
      <c r="H7" s="8" t="s">
        <v>92</v>
      </c>
      <c r="I7" s="7" t="s">
        <v>303</v>
      </c>
      <c r="J7" s="8" t="s">
        <v>301</v>
      </c>
      <c r="K7" s="7">
        <v>203.0</v>
      </c>
      <c r="L7" s="10">
        <v>750000.0</v>
      </c>
      <c r="M7" s="8" t="s">
        <v>306</v>
      </c>
      <c r="N7" s="131"/>
      <c r="O7" s="7"/>
      <c r="P7" s="8" t="s">
        <v>89</v>
      </c>
      <c r="Q7" s="11"/>
      <c r="R7" s="8" t="s">
        <v>307</v>
      </c>
      <c r="S7" s="8"/>
      <c r="T7" s="13"/>
      <c r="U7" s="135" t="s">
        <v>425</v>
      </c>
      <c r="V7" s="15"/>
      <c r="W7" s="16"/>
      <c r="X7" s="17" t="s">
        <v>93</v>
      </c>
      <c r="Y7" s="18" t="s">
        <v>86</v>
      </c>
      <c r="Z7" s="8" t="s">
        <v>87</v>
      </c>
      <c r="AA7" s="12" t="s">
        <v>88</v>
      </c>
      <c r="AB7" s="17"/>
      <c r="AC7" s="17"/>
    </row>
  </sheetData>
  <dataValidations>
    <dataValidation type="list" allowBlank="1" showErrorMessage="1" sqref="P2:P7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M2:M7">
      <formula1>"تحت الإنشاء,متاحة,مباعة,محجوزة"</formula1>
    </dataValidation>
    <dataValidation type="list" allowBlank="1" showErrorMessage="1" sqref="R2:R7">
      <formula1>"مؤسس,لا يوجد,جاهز"</formula1>
    </dataValidation>
    <dataValidation type="list" allowBlank="1" showErrorMessage="1" sqref="S2:S7">
      <formula1>"ارضي,اول,ثاني,ثالث"</formula1>
    </dataValidation>
    <dataValidation type="list" allowBlank="1" showErrorMessage="1" sqref="W2:W7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</hyperlinks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7">
        <v>3.0</v>
      </c>
      <c r="B2" s="7" t="s">
        <v>426</v>
      </c>
      <c r="C2" s="7"/>
      <c r="D2" s="7"/>
      <c r="E2" s="7">
        <v>1.0</v>
      </c>
      <c r="F2" s="9" t="str">
        <f t="shared" ref="F2:F7" si="1">IF(J2="دور","FL",
IF(J2="شقة","AP",
IF(J2="فيلا","VI",
IF(J2="تاون هاوس","TH",""))))
</f>
        <v>FL</v>
      </c>
      <c r="G2" s="7" t="str">
        <f t="shared" ref="G2:G7" si="2">B2&amp;"-"&amp;I2&amp;"-"&amp;E2&amp;"-"&amp;F2</f>
        <v>SHR-A-1-FL</v>
      </c>
      <c r="H2" s="8" t="s">
        <v>96</v>
      </c>
      <c r="I2" s="7" t="s">
        <v>294</v>
      </c>
      <c r="J2" s="8" t="s">
        <v>295</v>
      </c>
      <c r="K2" s="7">
        <v>214.0</v>
      </c>
      <c r="L2" s="10">
        <v>1640000.0</v>
      </c>
      <c r="M2" s="8" t="s">
        <v>296</v>
      </c>
      <c r="N2" s="131">
        <v>3.0</v>
      </c>
      <c r="O2" s="7">
        <v>5.0</v>
      </c>
      <c r="P2" s="8" t="s">
        <v>89</v>
      </c>
      <c r="Q2" s="11"/>
      <c r="R2" s="8" t="s">
        <v>297</v>
      </c>
      <c r="S2" s="8" t="s">
        <v>298</v>
      </c>
      <c r="T2" s="13"/>
      <c r="U2" s="135"/>
      <c r="V2" s="15"/>
      <c r="W2" s="16"/>
      <c r="X2" s="133" t="s">
        <v>97</v>
      </c>
      <c r="Y2" s="18" t="s">
        <v>86</v>
      </c>
      <c r="Z2" s="8" t="s">
        <v>87</v>
      </c>
      <c r="AA2" s="12" t="s">
        <v>99</v>
      </c>
      <c r="AB2" s="134"/>
      <c r="AC2" s="134"/>
    </row>
    <row r="3">
      <c r="A3" s="7">
        <v>3.0</v>
      </c>
      <c r="B3" s="7" t="s">
        <v>426</v>
      </c>
      <c r="C3" s="7"/>
      <c r="D3" s="7"/>
      <c r="E3" s="7">
        <v>2.0</v>
      </c>
      <c r="F3" s="9" t="str">
        <f t="shared" si="1"/>
        <v>FL</v>
      </c>
      <c r="G3" s="7" t="str">
        <f t="shared" si="2"/>
        <v>SHR-A-2-FL</v>
      </c>
      <c r="H3" s="8" t="s">
        <v>96</v>
      </c>
      <c r="I3" s="7" t="s">
        <v>294</v>
      </c>
      <c r="J3" s="8" t="s">
        <v>295</v>
      </c>
      <c r="K3" s="7">
        <v>197.0</v>
      </c>
      <c r="L3" s="10">
        <v>1390000.0</v>
      </c>
      <c r="M3" s="8" t="s">
        <v>296</v>
      </c>
      <c r="N3" s="131">
        <v>4.0</v>
      </c>
      <c r="O3" s="7">
        <v>4.0</v>
      </c>
      <c r="P3" s="8" t="s">
        <v>89</v>
      </c>
      <c r="Q3" s="11"/>
      <c r="R3" s="8" t="s">
        <v>297</v>
      </c>
      <c r="S3" s="8" t="s">
        <v>308</v>
      </c>
      <c r="T3" s="13"/>
      <c r="U3" s="135"/>
      <c r="V3" s="15"/>
      <c r="W3" s="16"/>
      <c r="X3" s="133" t="s">
        <v>97</v>
      </c>
      <c r="Y3" s="18" t="s">
        <v>86</v>
      </c>
      <c r="Z3" s="8" t="s">
        <v>87</v>
      </c>
      <c r="AA3" s="12" t="s">
        <v>99</v>
      </c>
      <c r="AB3" s="134"/>
      <c r="AC3" s="134"/>
    </row>
    <row r="4">
      <c r="A4" s="7">
        <v>3.0</v>
      </c>
      <c r="B4" s="7" t="s">
        <v>426</v>
      </c>
      <c r="C4" s="7"/>
      <c r="D4" s="7"/>
      <c r="E4" s="7">
        <v>3.0</v>
      </c>
      <c r="F4" s="9" t="str">
        <f t="shared" si="1"/>
        <v>AP</v>
      </c>
      <c r="G4" s="7" t="str">
        <f t="shared" si="2"/>
        <v>SHR-A-3-AP</v>
      </c>
      <c r="H4" s="8" t="s">
        <v>96</v>
      </c>
      <c r="I4" s="7" t="s">
        <v>294</v>
      </c>
      <c r="J4" s="8" t="s">
        <v>301</v>
      </c>
      <c r="K4" s="7">
        <v>142.0</v>
      </c>
      <c r="L4" s="10">
        <v>1230000.0</v>
      </c>
      <c r="M4" s="8" t="s">
        <v>296</v>
      </c>
      <c r="N4" s="131">
        <v>3.0</v>
      </c>
      <c r="O4" s="7">
        <v>3.0</v>
      </c>
      <c r="P4" s="8" t="s">
        <v>89</v>
      </c>
      <c r="Q4" s="11"/>
      <c r="R4" s="8" t="s">
        <v>297</v>
      </c>
      <c r="S4" s="8"/>
      <c r="T4" s="13"/>
      <c r="U4" s="135"/>
      <c r="V4" s="15"/>
      <c r="W4" s="16"/>
      <c r="X4" s="133" t="s">
        <v>97</v>
      </c>
      <c r="Y4" s="18" t="s">
        <v>86</v>
      </c>
      <c r="Z4" s="8" t="s">
        <v>87</v>
      </c>
      <c r="AA4" s="12" t="s">
        <v>99</v>
      </c>
      <c r="AB4" s="134"/>
      <c r="AC4" s="134"/>
    </row>
    <row r="5">
      <c r="A5" s="7">
        <v>3.0</v>
      </c>
      <c r="B5" s="7" t="s">
        <v>426</v>
      </c>
      <c r="C5" s="7"/>
      <c r="D5" s="7"/>
      <c r="E5" s="7">
        <v>4.0</v>
      </c>
      <c r="F5" s="9" t="str">
        <f t="shared" si="1"/>
        <v>FL</v>
      </c>
      <c r="G5" s="7" t="str">
        <f t="shared" si="2"/>
        <v>SHR-B-4-FL</v>
      </c>
      <c r="H5" s="8" t="s">
        <v>96</v>
      </c>
      <c r="I5" s="7" t="s">
        <v>303</v>
      </c>
      <c r="J5" s="8" t="s">
        <v>295</v>
      </c>
      <c r="K5" s="7">
        <v>214.0</v>
      </c>
      <c r="L5" s="10">
        <v>1640000.0</v>
      </c>
      <c r="M5" s="8" t="s">
        <v>306</v>
      </c>
      <c r="N5" s="131">
        <v>3.0</v>
      </c>
      <c r="O5" s="7">
        <v>5.0</v>
      </c>
      <c r="P5" s="8" t="s">
        <v>89</v>
      </c>
      <c r="Q5" s="11"/>
      <c r="R5" s="8" t="s">
        <v>297</v>
      </c>
      <c r="S5" s="8" t="s">
        <v>298</v>
      </c>
      <c r="T5" s="13"/>
      <c r="U5" s="135"/>
      <c r="V5" s="15"/>
      <c r="W5" s="16"/>
      <c r="X5" s="133" t="s">
        <v>97</v>
      </c>
      <c r="Y5" s="18" t="s">
        <v>86</v>
      </c>
      <c r="Z5" s="8" t="s">
        <v>87</v>
      </c>
      <c r="AA5" s="12" t="s">
        <v>99</v>
      </c>
      <c r="AB5" s="134"/>
      <c r="AC5" s="134"/>
    </row>
    <row r="6">
      <c r="A6" s="7">
        <v>3.0</v>
      </c>
      <c r="B6" s="7" t="s">
        <v>426</v>
      </c>
      <c r="C6" s="7"/>
      <c r="D6" s="7"/>
      <c r="E6" s="7">
        <v>5.0</v>
      </c>
      <c r="F6" s="9" t="str">
        <f t="shared" si="1"/>
        <v>FL</v>
      </c>
      <c r="G6" s="7" t="str">
        <f t="shared" si="2"/>
        <v>SHR-B-5-FL</v>
      </c>
      <c r="H6" s="8" t="s">
        <v>96</v>
      </c>
      <c r="I6" s="7" t="s">
        <v>303</v>
      </c>
      <c r="J6" s="8" t="s">
        <v>295</v>
      </c>
      <c r="K6" s="7">
        <v>197.0</v>
      </c>
      <c r="L6" s="10">
        <v>1390000.0</v>
      </c>
      <c r="M6" s="8" t="s">
        <v>312</v>
      </c>
      <c r="N6" s="131">
        <v>4.0</v>
      </c>
      <c r="O6" s="7">
        <v>4.0</v>
      </c>
      <c r="P6" s="8" t="s">
        <v>89</v>
      </c>
      <c r="Q6" s="11"/>
      <c r="R6" s="8" t="s">
        <v>297</v>
      </c>
      <c r="S6" s="8" t="s">
        <v>308</v>
      </c>
      <c r="T6" s="13"/>
      <c r="U6" s="135"/>
      <c r="V6" s="15"/>
      <c r="W6" s="16"/>
      <c r="X6" s="133" t="s">
        <v>97</v>
      </c>
      <c r="Y6" s="18" t="s">
        <v>86</v>
      </c>
      <c r="Z6" s="8" t="s">
        <v>87</v>
      </c>
      <c r="AA6" s="12" t="s">
        <v>99</v>
      </c>
      <c r="AB6" s="134"/>
      <c r="AC6" s="134"/>
    </row>
    <row r="7">
      <c r="A7" s="7">
        <v>3.0</v>
      </c>
      <c r="B7" s="7" t="s">
        <v>426</v>
      </c>
      <c r="C7" s="7"/>
      <c r="D7" s="7"/>
      <c r="E7" s="7">
        <v>6.0</v>
      </c>
      <c r="F7" s="9" t="str">
        <f t="shared" si="1"/>
        <v>AP</v>
      </c>
      <c r="G7" s="7" t="str">
        <f t="shared" si="2"/>
        <v>SHR-B-6-AP</v>
      </c>
      <c r="H7" s="8" t="s">
        <v>96</v>
      </c>
      <c r="I7" s="7" t="s">
        <v>303</v>
      </c>
      <c r="J7" s="8" t="s">
        <v>301</v>
      </c>
      <c r="K7" s="7">
        <v>142.0</v>
      </c>
      <c r="L7" s="10">
        <v>1230000.0</v>
      </c>
      <c r="M7" s="8" t="s">
        <v>296</v>
      </c>
      <c r="N7" s="131">
        <v>3.0</v>
      </c>
      <c r="O7" s="7">
        <v>3.0</v>
      </c>
      <c r="P7" s="8" t="s">
        <v>89</v>
      </c>
      <c r="Q7" s="11"/>
      <c r="R7" s="8" t="s">
        <v>297</v>
      </c>
      <c r="S7" s="8"/>
      <c r="T7" s="13"/>
      <c r="U7" s="135"/>
      <c r="V7" s="15"/>
      <c r="W7" s="16"/>
      <c r="X7" s="133" t="s">
        <v>97</v>
      </c>
      <c r="Y7" s="18" t="s">
        <v>86</v>
      </c>
      <c r="Z7" s="8" t="s">
        <v>87</v>
      </c>
      <c r="AA7" s="12" t="s">
        <v>99</v>
      </c>
      <c r="AB7" s="134"/>
      <c r="AC7" s="134"/>
    </row>
  </sheetData>
  <dataValidations>
    <dataValidation type="list" allowBlank="1" showErrorMessage="1" sqref="P2:P7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M2:M7">
      <formula1>"تحت الإنشاء,متاحة,مباعة,محجوزة"</formula1>
    </dataValidation>
    <dataValidation type="list" allowBlank="1" showErrorMessage="1" sqref="R2:R7">
      <formula1>"مؤسس,لا يوجد,جاهز"</formula1>
    </dataValidation>
    <dataValidation type="list" allowBlank="1" showErrorMessage="1" sqref="S2:S7">
      <formula1>"ارضي,اول,ثاني,ثالث"</formula1>
    </dataValidation>
    <dataValidation type="list" allowBlank="1" showErrorMessage="1" sqref="W2:W7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7">
        <v>4.0</v>
      </c>
      <c r="B2" s="7" t="s">
        <v>427</v>
      </c>
      <c r="C2" s="7"/>
      <c r="D2" s="7"/>
      <c r="E2" s="7">
        <v>1.0</v>
      </c>
      <c r="F2" s="9" t="str">
        <f t="shared" ref="F2:F13" si="1">IF(J2="دور","FL",
IF(J2="شقة","AP",
IF(J2="فيلا","VI",
IF(J2="تاون هاوس","TH",""))))
</f>
        <v>VI</v>
      </c>
      <c r="G2" s="7" t="str">
        <f t="shared" ref="G2:G13" si="2">B2&amp;"-"&amp;I2&amp;"-"&amp;E2&amp;"-"&amp;F2</f>
        <v>DRS-A-1-VI</v>
      </c>
      <c r="H2" s="8" t="s">
        <v>102</v>
      </c>
      <c r="I2" s="7" t="s">
        <v>294</v>
      </c>
      <c r="J2" s="8" t="s">
        <v>313</v>
      </c>
      <c r="K2" s="7">
        <v>249.0</v>
      </c>
      <c r="L2" s="10">
        <v>1580000.0</v>
      </c>
      <c r="M2" s="8" t="s">
        <v>312</v>
      </c>
      <c r="N2" s="131">
        <v>4.0</v>
      </c>
      <c r="O2" s="7">
        <v>5.0</v>
      </c>
      <c r="P2" s="8" t="s">
        <v>89</v>
      </c>
      <c r="Q2" s="11"/>
      <c r="R2" s="8" t="s">
        <v>314</v>
      </c>
      <c r="S2" s="8"/>
      <c r="T2" s="13"/>
      <c r="U2" s="135"/>
      <c r="V2" s="15"/>
      <c r="W2" s="16"/>
      <c r="X2" s="133" t="s">
        <v>103</v>
      </c>
      <c r="Y2" s="18" t="s">
        <v>86</v>
      </c>
      <c r="Z2" s="8" t="s">
        <v>87</v>
      </c>
      <c r="AA2" s="12" t="s">
        <v>104</v>
      </c>
      <c r="AB2" s="134"/>
      <c r="AC2" s="134"/>
    </row>
    <row r="3">
      <c r="A3" s="7">
        <v>4.0</v>
      </c>
      <c r="B3" s="7" t="s">
        <v>427</v>
      </c>
      <c r="C3" s="7"/>
      <c r="D3" s="7"/>
      <c r="E3" s="7">
        <v>2.0</v>
      </c>
      <c r="F3" s="9" t="str">
        <f t="shared" si="1"/>
        <v>VI</v>
      </c>
      <c r="G3" s="7" t="str">
        <f t="shared" si="2"/>
        <v>DRS-A-2-VI</v>
      </c>
      <c r="H3" s="8" t="s">
        <v>102</v>
      </c>
      <c r="I3" s="7" t="s">
        <v>294</v>
      </c>
      <c r="J3" s="8" t="s">
        <v>313</v>
      </c>
      <c r="K3" s="7">
        <v>249.0</v>
      </c>
      <c r="L3" s="10">
        <v>1610000.0</v>
      </c>
      <c r="M3" s="8" t="s">
        <v>306</v>
      </c>
      <c r="N3" s="131">
        <v>4.0</v>
      </c>
      <c r="O3" s="7">
        <v>5.0</v>
      </c>
      <c r="P3" s="8" t="s">
        <v>89</v>
      </c>
      <c r="Q3" s="11"/>
      <c r="R3" s="8" t="s">
        <v>314</v>
      </c>
      <c r="S3" s="8"/>
      <c r="T3" s="13"/>
      <c r="U3" s="135"/>
      <c r="V3" s="15"/>
      <c r="W3" s="16"/>
      <c r="X3" s="133" t="s">
        <v>103</v>
      </c>
      <c r="Y3" s="18" t="s">
        <v>86</v>
      </c>
      <c r="Z3" s="8" t="s">
        <v>87</v>
      </c>
      <c r="AA3" s="12" t="s">
        <v>104</v>
      </c>
      <c r="AB3" s="134"/>
      <c r="AC3" s="134"/>
    </row>
    <row r="4">
      <c r="A4" s="7">
        <v>4.0</v>
      </c>
      <c r="B4" s="7" t="s">
        <v>427</v>
      </c>
      <c r="C4" s="7"/>
      <c r="D4" s="7"/>
      <c r="E4" s="7">
        <v>3.0</v>
      </c>
      <c r="F4" s="9" t="str">
        <f t="shared" si="1"/>
        <v>VI</v>
      </c>
      <c r="G4" s="7" t="str">
        <f t="shared" si="2"/>
        <v>DRS-A-3-VI</v>
      </c>
      <c r="H4" s="8" t="s">
        <v>102</v>
      </c>
      <c r="I4" s="7" t="s">
        <v>294</v>
      </c>
      <c r="J4" s="8" t="s">
        <v>313</v>
      </c>
      <c r="K4" s="7">
        <v>249.0</v>
      </c>
      <c r="L4" s="10">
        <v>1610000.0</v>
      </c>
      <c r="M4" s="8" t="s">
        <v>296</v>
      </c>
      <c r="N4" s="131">
        <v>4.0</v>
      </c>
      <c r="O4" s="7">
        <v>5.0</v>
      </c>
      <c r="P4" s="8" t="s">
        <v>89</v>
      </c>
      <c r="Q4" s="11"/>
      <c r="R4" s="8" t="s">
        <v>314</v>
      </c>
      <c r="S4" s="8"/>
      <c r="T4" s="13"/>
      <c r="U4" s="135"/>
      <c r="V4" s="15"/>
      <c r="W4" s="16"/>
      <c r="X4" s="133" t="s">
        <v>103</v>
      </c>
      <c r="Y4" s="18" t="s">
        <v>86</v>
      </c>
      <c r="Z4" s="8" t="s">
        <v>87</v>
      </c>
      <c r="AA4" s="12" t="s">
        <v>104</v>
      </c>
      <c r="AB4" s="134"/>
      <c r="AC4" s="134"/>
    </row>
    <row r="5">
      <c r="A5" s="7">
        <v>4.0</v>
      </c>
      <c r="B5" s="7" t="s">
        <v>427</v>
      </c>
      <c r="C5" s="7"/>
      <c r="D5" s="7"/>
      <c r="E5" s="7">
        <v>4.0</v>
      </c>
      <c r="F5" s="9" t="str">
        <f t="shared" si="1"/>
        <v>VI</v>
      </c>
      <c r="G5" s="7" t="str">
        <f t="shared" si="2"/>
        <v>DRS-A-4-VI</v>
      </c>
      <c r="H5" s="8" t="s">
        <v>102</v>
      </c>
      <c r="I5" s="7" t="s">
        <v>294</v>
      </c>
      <c r="J5" s="8" t="s">
        <v>313</v>
      </c>
      <c r="K5" s="7">
        <v>249.0</v>
      </c>
      <c r="L5" s="10">
        <v>1610000.0</v>
      </c>
      <c r="M5" s="8" t="s">
        <v>296</v>
      </c>
      <c r="N5" s="131">
        <v>4.0</v>
      </c>
      <c r="O5" s="7">
        <v>5.0</v>
      </c>
      <c r="P5" s="8" t="s">
        <v>89</v>
      </c>
      <c r="Q5" s="11"/>
      <c r="R5" s="8" t="s">
        <v>314</v>
      </c>
      <c r="S5" s="8"/>
      <c r="T5" s="13"/>
      <c r="U5" s="135"/>
      <c r="V5" s="15"/>
      <c r="W5" s="16"/>
      <c r="X5" s="133" t="s">
        <v>103</v>
      </c>
      <c r="Y5" s="18" t="s">
        <v>86</v>
      </c>
      <c r="Z5" s="8" t="s">
        <v>87</v>
      </c>
      <c r="AA5" s="12" t="s">
        <v>104</v>
      </c>
      <c r="AB5" s="134"/>
      <c r="AC5" s="134"/>
    </row>
    <row r="6">
      <c r="A6" s="7">
        <v>4.0</v>
      </c>
      <c r="B6" s="7" t="s">
        <v>427</v>
      </c>
      <c r="C6" s="7"/>
      <c r="D6" s="7"/>
      <c r="E6" s="7">
        <v>5.0</v>
      </c>
      <c r="F6" s="9" t="str">
        <f t="shared" si="1"/>
        <v>VI</v>
      </c>
      <c r="G6" s="7" t="str">
        <f t="shared" si="2"/>
        <v>DRS-B-5-VI</v>
      </c>
      <c r="H6" s="8" t="s">
        <v>102</v>
      </c>
      <c r="I6" s="7" t="s">
        <v>303</v>
      </c>
      <c r="J6" s="8" t="s">
        <v>313</v>
      </c>
      <c r="K6" s="7">
        <v>282.0</v>
      </c>
      <c r="L6" s="10">
        <v>1880000.0</v>
      </c>
      <c r="M6" s="8" t="s">
        <v>296</v>
      </c>
      <c r="N6" s="131">
        <v>4.0</v>
      </c>
      <c r="O6" s="7">
        <v>5.0</v>
      </c>
      <c r="P6" s="8" t="s">
        <v>89</v>
      </c>
      <c r="Q6" s="11"/>
      <c r="R6" s="8" t="s">
        <v>314</v>
      </c>
      <c r="S6" s="8"/>
      <c r="T6" s="13"/>
      <c r="U6" s="135"/>
      <c r="V6" s="15"/>
      <c r="W6" s="16"/>
      <c r="X6" s="133" t="s">
        <v>103</v>
      </c>
      <c r="Y6" s="18" t="s">
        <v>86</v>
      </c>
      <c r="Z6" s="8" t="s">
        <v>87</v>
      </c>
      <c r="AA6" s="12" t="s">
        <v>104</v>
      </c>
      <c r="AB6" s="134"/>
      <c r="AC6" s="134"/>
    </row>
    <row r="7">
      <c r="A7" s="7">
        <v>4.0</v>
      </c>
      <c r="B7" s="7" t="s">
        <v>427</v>
      </c>
      <c r="C7" s="7"/>
      <c r="D7" s="7"/>
      <c r="E7" s="7">
        <v>6.0</v>
      </c>
      <c r="F7" s="9" t="str">
        <f t="shared" si="1"/>
        <v>VI</v>
      </c>
      <c r="G7" s="7" t="str">
        <f t="shared" si="2"/>
        <v>DRS-B-6-VI</v>
      </c>
      <c r="H7" s="8" t="s">
        <v>102</v>
      </c>
      <c r="I7" s="7" t="s">
        <v>303</v>
      </c>
      <c r="J7" s="8" t="s">
        <v>313</v>
      </c>
      <c r="K7" s="7">
        <v>277.0</v>
      </c>
      <c r="L7" s="10">
        <v>1850000.0</v>
      </c>
      <c r="M7" s="8" t="s">
        <v>312</v>
      </c>
      <c r="N7" s="131">
        <v>4.0</v>
      </c>
      <c r="O7" s="7">
        <v>5.0</v>
      </c>
      <c r="P7" s="8" t="s">
        <v>89</v>
      </c>
      <c r="Q7" s="11"/>
      <c r="R7" s="8" t="s">
        <v>314</v>
      </c>
      <c r="S7" s="8"/>
      <c r="T7" s="13"/>
      <c r="U7" s="135"/>
      <c r="V7" s="15"/>
      <c r="W7" s="16"/>
      <c r="X7" s="133" t="s">
        <v>103</v>
      </c>
      <c r="Y7" s="18" t="s">
        <v>86</v>
      </c>
      <c r="Z7" s="8" t="s">
        <v>87</v>
      </c>
      <c r="AA7" s="12" t="s">
        <v>104</v>
      </c>
      <c r="AB7" s="134"/>
      <c r="AC7" s="134"/>
    </row>
    <row r="8">
      <c r="A8" s="7">
        <v>4.0</v>
      </c>
      <c r="B8" s="7" t="s">
        <v>427</v>
      </c>
      <c r="C8" s="7"/>
      <c r="D8" s="7"/>
      <c r="E8" s="7">
        <v>7.0</v>
      </c>
      <c r="F8" s="9" t="str">
        <f t="shared" si="1"/>
        <v>VI</v>
      </c>
      <c r="G8" s="7" t="str">
        <f t="shared" si="2"/>
        <v>DRS-B-7-VI</v>
      </c>
      <c r="H8" s="8" t="s">
        <v>102</v>
      </c>
      <c r="I8" s="7" t="s">
        <v>303</v>
      </c>
      <c r="J8" s="8" t="s">
        <v>313</v>
      </c>
      <c r="K8" s="7">
        <v>277.0</v>
      </c>
      <c r="L8" s="10">
        <v>1850000.0</v>
      </c>
      <c r="M8" s="8" t="s">
        <v>312</v>
      </c>
      <c r="N8" s="131">
        <v>4.0</v>
      </c>
      <c r="O8" s="7">
        <v>5.0</v>
      </c>
      <c r="P8" s="8" t="s">
        <v>89</v>
      </c>
      <c r="Q8" s="11"/>
      <c r="R8" s="8" t="s">
        <v>314</v>
      </c>
      <c r="S8" s="8"/>
      <c r="T8" s="13"/>
      <c r="U8" s="135"/>
      <c r="V8" s="15"/>
      <c r="W8" s="16"/>
      <c r="X8" s="133" t="s">
        <v>103</v>
      </c>
      <c r="Y8" s="18" t="s">
        <v>86</v>
      </c>
      <c r="Z8" s="8" t="s">
        <v>87</v>
      </c>
      <c r="AA8" s="12" t="s">
        <v>104</v>
      </c>
      <c r="AB8" s="134"/>
      <c r="AC8" s="134"/>
    </row>
    <row r="9">
      <c r="A9" s="7">
        <v>4.0</v>
      </c>
      <c r="B9" s="7" t="s">
        <v>427</v>
      </c>
      <c r="C9" s="7"/>
      <c r="D9" s="7"/>
      <c r="E9" s="7">
        <v>8.0</v>
      </c>
      <c r="F9" s="9" t="str">
        <f t="shared" si="1"/>
        <v>VI</v>
      </c>
      <c r="G9" s="7" t="str">
        <f t="shared" si="2"/>
        <v>DRS-B-8-VI</v>
      </c>
      <c r="H9" s="8" t="s">
        <v>102</v>
      </c>
      <c r="I9" s="7" t="s">
        <v>303</v>
      </c>
      <c r="J9" s="8" t="s">
        <v>313</v>
      </c>
      <c r="K9" s="7">
        <v>277.0</v>
      </c>
      <c r="L9" s="10">
        <v>1890000.0</v>
      </c>
      <c r="M9" s="8" t="s">
        <v>306</v>
      </c>
      <c r="N9" s="131">
        <v>4.0</v>
      </c>
      <c r="O9" s="7">
        <v>5.0</v>
      </c>
      <c r="P9" s="8" t="s">
        <v>89</v>
      </c>
      <c r="Q9" s="11"/>
      <c r="R9" s="8" t="s">
        <v>314</v>
      </c>
      <c r="S9" s="8"/>
      <c r="T9" s="13"/>
      <c r="U9" s="135"/>
      <c r="V9" s="15"/>
      <c r="W9" s="16"/>
      <c r="X9" s="133" t="s">
        <v>103</v>
      </c>
      <c r="Y9" s="18" t="s">
        <v>86</v>
      </c>
      <c r="Z9" s="8" t="s">
        <v>87</v>
      </c>
      <c r="AA9" s="12" t="s">
        <v>104</v>
      </c>
      <c r="AB9" s="134"/>
      <c r="AC9" s="134"/>
    </row>
    <row r="10">
      <c r="A10" s="7">
        <v>4.0</v>
      </c>
      <c r="B10" s="7" t="s">
        <v>427</v>
      </c>
      <c r="C10" s="7"/>
      <c r="D10" s="7"/>
      <c r="E10" s="7">
        <v>9.0</v>
      </c>
      <c r="F10" s="9" t="str">
        <f t="shared" si="1"/>
        <v>VI</v>
      </c>
      <c r="G10" s="7" t="str">
        <f t="shared" si="2"/>
        <v>DRS-A-9-VI</v>
      </c>
      <c r="H10" s="8" t="s">
        <v>102</v>
      </c>
      <c r="I10" s="7" t="s">
        <v>294</v>
      </c>
      <c r="J10" s="8" t="s">
        <v>313</v>
      </c>
      <c r="K10" s="7">
        <v>249.0</v>
      </c>
      <c r="L10" s="10">
        <v>1610000.0</v>
      </c>
      <c r="M10" s="8" t="s">
        <v>312</v>
      </c>
      <c r="N10" s="131">
        <v>4.0</v>
      </c>
      <c r="O10" s="7">
        <v>5.0</v>
      </c>
      <c r="P10" s="8" t="s">
        <v>89</v>
      </c>
      <c r="Q10" s="11"/>
      <c r="R10" s="8" t="s">
        <v>314</v>
      </c>
      <c r="S10" s="8"/>
      <c r="T10" s="13"/>
      <c r="U10" s="135"/>
      <c r="V10" s="15"/>
      <c r="W10" s="16"/>
      <c r="X10" s="133" t="s">
        <v>103</v>
      </c>
      <c r="Y10" s="18" t="s">
        <v>86</v>
      </c>
      <c r="Z10" s="8" t="s">
        <v>87</v>
      </c>
      <c r="AA10" s="12" t="s">
        <v>104</v>
      </c>
      <c r="AB10" s="134"/>
      <c r="AC10" s="134"/>
    </row>
    <row r="11">
      <c r="A11" s="7">
        <v>4.0</v>
      </c>
      <c r="B11" s="7" t="s">
        <v>427</v>
      </c>
      <c r="C11" s="7"/>
      <c r="D11" s="7"/>
      <c r="E11" s="7">
        <v>10.0</v>
      </c>
      <c r="F11" s="9" t="str">
        <f t="shared" si="1"/>
        <v>VI</v>
      </c>
      <c r="G11" s="7" t="str">
        <f t="shared" si="2"/>
        <v>DRS-A-10-VI</v>
      </c>
      <c r="H11" s="8" t="s">
        <v>102</v>
      </c>
      <c r="I11" s="7" t="s">
        <v>294</v>
      </c>
      <c r="J11" s="8" t="s">
        <v>313</v>
      </c>
      <c r="K11" s="7">
        <v>249.0</v>
      </c>
      <c r="L11" s="10">
        <v>1610000.0</v>
      </c>
      <c r="M11" s="8" t="s">
        <v>296</v>
      </c>
      <c r="N11" s="131">
        <v>4.0</v>
      </c>
      <c r="O11" s="7">
        <v>5.0</v>
      </c>
      <c r="P11" s="8" t="s">
        <v>89</v>
      </c>
      <c r="Q11" s="11"/>
      <c r="R11" s="8" t="s">
        <v>314</v>
      </c>
      <c r="S11" s="8"/>
      <c r="T11" s="13"/>
      <c r="U11" s="135"/>
      <c r="V11" s="15"/>
      <c r="W11" s="16"/>
      <c r="X11" s="133" t="s">
        <v>103</v>
      </c>
      <c r="Y11" s="18" t="s">
        <v>86</v>
      </c>
      <c r="Z11" s="8" t="s">
        <v>87</v>
      </c>
      <c r="AA11" s="12" t="s">
        <v>104</v>
      </c>
      <c r="AB11" s="134"/>
      <c r="AC11" s="134"/>
    </row>
    <row r="12">
      <c r="A12" s="7">
        <v>4.0</v>
      </c>
      <c r="B12" s="7" t="s">
        <v>427</v>
      </c>
      <c r="C12" s="7"/>
      <c r="D12" s="7"/>
      <c r="E12" s="7">
        <v>11.0</v>
      </c>
      <c r="F12" s="9" t="str">
        <f t="shared" si="1"/>
        <v>VI</v>
      </c>
      <c r="G12" s="7" t="str">
        <f t="shared" si="2"/>
        <v>DRS-A-11-VI</v>
      </c>
      <c r="H12" s="8" t="s">
        <v>102</v>
      </c>
      <c r="I12" s="7" t="s">
        <v>294</v>
      </c>
      <c r="J12" s="8" t="s">
        <v>313</v>
      </c>
      <c r="K12" s="7">
        <v>249.0</v>
      </c>
      <c r="L12" s="10">
        <v>1610000.0</v>
      </c>
      <c r="M12" s="8" t="s">
        <v>296</v>
      </c>
      <c r="N12" s="131">
        <v>4.0</v>
      </c>
      <c r="O12" s="7">
        <v>5.0</v>
      </c>
      <c r="P12" s="8" t="s">
        <v>89</v>
      </c>
      <c r="Q12" s="11"/>
      <c r="R12" s="8" t="s">
        <v>314</v>
      </c>
      <c r="S12" s="8"/>
      <c r="T12" s="13"/>
      <c r="U12" s="135"/>
      <c r="V12" s="15"/>
      <c r="W12" s="16"/>
      <c r="X12" s="133" t="s">
        <v>103</v>
      </c>
      <c r="Y12" s="18" t="s">
        <v>86</v>
      </c>
      <c r="Z12" s="8" t="s">
        <v>87</v>
      </c>
      <c r="AA12" s="12" t="s">
        <v>104</v>
      </c>
      <c r="AB12" s="134"/>
      <c r="AC12" s="134"/>
    </row>
    <row r="13">
      <c r="A13" s="7">
        <v>4.0</v>
      </c>
      <c r="B13" s="7" t="s">
        <v>427</v>
      </c>
      <c r="C13" s="7"/>
      <c r="D13" s="7"/>
      <c r="E13" s="7">
        <v>12.0</v>
      </c>
      <c r="F13" s="9" t="str">
        <f t="shared" si="1"/>
        <v>VI</v>
      </c>
      <c r="G13" s="7" t="str">
        <f t="shared" si="2"/>
        <v>DRS-A-12-VI</v>
      </c>
      <c r="H13" s="8" t="s">
        <v>102</v>
      </c>
      <c r="I13" s="7" t="s">
        <v>294</v>
      </c>
      <c r="J13" s="8" t="s">
        <v>313</v>
      </c>
      <c r="K13" s="7">
        <v>249.0</v>
      </c>
      <c r="L13" s="10">
        <v>1610000.0</v>
      </c>
      <c r="M13" s="8" t="s">
        <v>306</v>
      </c>
      <c r="N13" s="131">
        <v>4.0</v>
      </c>
      <c r="O13" s="7">
        <v>5.0</v>
      </c>
      <c r="P13" s="8" t="s">
        <v>89</v>
      </c>
      <c r="Q13" s="11"/>
      <c r="R13" s="8" t="s">
        <v>314</v>
      </c>
      <c r="S13" s="8"/>
      <c r="T13" s="13"/>
      <c r="U13" s="135"/>
      <c r="V13" s="15"/>
      <c r="W13" s="16"/>
      <c r="X13" s="133" t="s">
        <v>103</v>
      </c>
      <c r="Y13" s="18" t="s">
        <v>86</v>
      </c>
      <c r="Z13" s="8" t="s">
        <v>87</v>
      </c>
      <c r="AA13" s="12" t="s">
        <v>104</v>
      </c>
      <c r="AB13" s="134"/>
      <c r="AC13" s="134"/>
    </row>
  </sheetData>
  <dataValidations>
    <dataValidation type="list" allowBlank="1" showErrorMessage="1" sqref="P2:P13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M2:M13">
      <formula1>"تحت الإنشاء,متاحة,مباعة,محجوزة"</formula1>
    </dataValidation>
    <dataValidation type="list" allowBlank="1" showErrorMessage="1" sqref="R2:R13">
      <formula1>"مؤسس,لا يوجد,جاهز"</formula1>
    </dataValidation>
    <dataValidation type="list" allowBlank="1" showErrorMessage="1" sqref="S2:S13">
      <formula1>"ارضي,اول,ثاني,ثالث"</formula1>
    </dataValidation>
    <dataValidation type="list" allowBlank="1" showErrorMessage="1" sqref="W2:W13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</hyperlinks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7">
        <v>5.0</v>
      </c>
      <c r="B2" s="7" t="s">
        <v>428</v>
      </c>
      <c r="C2" s="7"/>
      <c r="D2" s="7"/>
      <c r="E2" s="7">
        <v>1.0</v>
      </c>
      <c r="F2" s="9" t="str">
        <f t="shared" ref="F2:F14" si="1">IF(J2="دور","FL",
IF(J2="شقة","AP",
IF(J2="فيلا","VI",
IF(J2="تاون هاوس","TH",""))))
</f>
        <v>AP</v>
      </c>
      <c r="G2" s="7" t="str">
        <f t="shared" ref="G2:G14" si="2">B2&amp;"-"&amp;I2&amp;"-"&amp;E2&amp;"-"&amp;F2</f>
        <v>SAR-A-1-AP</v>
      </c>
      <c r="H2" s="8" t="s">
        <v>107</v>
      </c>
      <c r="I2" s="7" t="s">
        <v>294</v>
      </c>
      <c r="J2" s="8" t="s">
        <v>301</v>
      </c>
      <c r="K2" s="7" t="s">
        <v>429</v>
      </c>
      <c r="L2" s="10">
        <v>1330000.0</v>
      </c>
      <c r="M2" s="8" t="s">
        <v>296</v>
      </c>
      <c r="N2" s="131">
        <v>3.0</v>
      </c>
      <c r="O2" s="7">
        <v>4.0</v>
      </c>
      <c r="P2" s="8" t="s">
        <v>89</v>
      </c>
      <c r="Q2" s="11"/>
      <c r="R2" s="8" t="s">
        <v>307</v>
      </c>
      <c r="S2" s="8" t="s">
        <v>298</v>
      </c>
      <c r="T2" s="13"/>
      <c r="U2" s="135"/>
      <c r="V2" s="15"/>
      <c r="W2" s="16"/>
      <c r="X2" s="133" t="s">
        <v>108</v>
      </c>
      <c r="Y2" s="18" t="s">
        <v>86</v>
      </c>
      <c r="Z2" s="8" t="s">
        <v>87</v>
      </c>
      <c r="AA2" s="12" t="s">
        <v>109</v>
      </c>
      <c r="AB2" s="134"/>
      <c r="AC2" s="134"/>
    </row>
    <row r="3">
      <c r="A3" s="7">
        <v>5.0</v>
      </c>
      <c r="B3" s="7" t="s">
        <v>428</v>
      </c>
      <c r="C3" s="7"/>
      <c r="D3" s="7"/>
      <c r="E3" s="7">
        <v>2.0</v>
      </c>
      <c r="F3" s="9" t="str">
        <f t="shared" si="1"/>
        <v>AP</v>
      </c>
      <c r="G3" s="7" t="str">
        <f t="shared" si="2"/>
        <v>SAR-A-2-AP</v>
      </c>
      <c r="H3" s="8" t="s">
        <v>107</v>
      </c>
      <c r="I3" s="7" t="s">
        <v>294</v>
      </c>
      <c r="J3" s="8" t="s">
        <v>301</v>
      </c>
      <c r="K3" s="7" t="s">
        <v>430</v>
      </c>
      <c r="L3" s="10">
        <v>1050000.0</v>
      </c>
      <c r="M3" s="8" t="s">
        <v>296</v>
      </c>
      <c r="N3" s="131">
        <v>3.0</v>
      </c>
      <c r="O3" s="7">
        <v>4.0</v>
      </c>
      <c r="P3" s="8" t="s">
        <v>89</v>
      </c>
      <c r="Q3" s="11"/>
      <c r="R3" s="8" t="s">
        <v>307</v>
      </c>
      <c r="S3" s="8" t="s">
        <v>298</v>
      </c>
      <c r="T3" s="13"/>
      <c r="U3" s="135"/>
      <c r="V3" s="15"/>
      <c r="W3" s="16"/>
      <c r="X3" s="133" t="s">
        <v>108</v>
      </c>
      <c r="Y3" s="18" t="s">
        <v>86</v>
      </c>
      <c r="Z3" s="8" t="s">
        <v>87</v>
      </c>
      <c r="AA3" s="12" t="s">
        <v>109</v>
      </c>
      <c r="AB3" s="134"/>
      <c r="AC3" s="134"/>
    </row>
    <row r="4">
      <c r="A4" s="57">
        <v>5.0</v>
      </c>
      <c r="B4" s="7" t="s">
        <v>428</v>
      </c>
      <c r="C4" s="57"/>
      <c r="D4" s="57"/>
      <c r="E4" s="46">
        <v>3.0</v>
      </c>
      <c r="F4" s="9" t="str">
        <f t="shared" si="1"/>
        <v>AP</v>
      </c>
      <c r="G4" s="7" t="str">
        <f t="shared" si="2"/>
        <v>SAR-A-3-AP</v>
      </c>
      <c r="H4" s="57" t="s">
        <v>107</v>
      </c>
      <c r="I4" s="57" t="s">
        <v>294</v>
      </c>
      <c r="J4" s="57" t="s">
        <v>301</v>
      </c>
      <c r="K4" s="46" t="s">
        <v>431</v>
      </c>
      <c r="L4" s="10">
        <v>1050000.0</v>
      </c>
      <c r="M4" s="51" t="s">
        <v>306</v>
      </c>
      <c r="N4" s="137">
        <v>3.0</v>
      </c>
      <c r="O4" s="57">
        <v>4.0</v>
      </c>
      <c r="P4" s="8" t="s">
        <v>89</v>
      </c>
      <c r="Q4" s="11"/>
      <c r="R4" s="57" t="s">
        <v>307</v>
      </c>
      <c r="S4" s="8" t="s">
        <v>298</v>
      </c>
      <c r="T4" s="80"/>
      <c r="U4" s="80"/>
      <c r="V4" s="15"/>
      <c r="W4" s="16"/>
      <c r="X4" s="138" t="s">
        <v>108</v>
      </c>
      <c r="Y4" s="18" t="s">
        <v>86</v>
      </c>
      <c r="Z4" s="8" t="s">
        <v>87</v>
      </c>
      <c r="AA4" s="12" t="s">
        <v>109</v>
      </c>
      <c r="AB4" s="138"/>
      <c r="AC4" s="138"/>
    </row>
    <row r="5">
      <c r="A5" s="57">
        <v>5.0</v>
      </c>
      <c r="B5" s="7" t="s">
        <v>428</v>
      </c>
      <c r="C5" s="57"/>
      <c r="D5" s="57"/>
      <c r="E5" s="46">
        <v>4.0</v>
      </c>
      <c r="F5" s="9" t="str">
        <f t="shared" si="1"/>
        <v>AP</v>
      </c>
      <c r="G5" s="7" t="str">
        <f t="shared" si="2"/>
        <v>SAR-B-4-AP</v>
      </c>
      <c r="H5" s="57" t="s">
        <v>107</v>
      </c>
      <c r="I5" s="46" t="s">
        <v>303</v>
      </c>
      <c r="J5" s="57" t="s">
        <v>301</v>
      </c>
      <c r="K5" s="46" t="s">
        <v>432</v>
      </c>
      <c r="L5" s="10">
        <v>898000.0</v>
      </c>
      <c r="M5" s="51" t="s">
        <v>306</v>
      </c>
      <c r="N5" s="137">
        <v>3.0</v>
      </c>
      <c r="O5" s="57">
        <v>4.0</v>
      </c>
      <c r="P5" s="8" t="s">
        <v>89</v>
      </c>
      <c r="Q5" s="11"/>
      <c r="R5" s="57" t="s">
        <v>307</v>
      </c>
      <c r="S5" s="8" t="s">
        <v>308</v>
      </c>
      <c r="T5" s="80"/>
      <c r="U5" s="80"/>
      <c r="V5" s="15"/>
      <c r="W5" s="16"/>
      <c r="X5" s="138" t="s">
        <v>108</v>
      </c>
      <c r="Y5" s="18" t="s">
        <v>86</v>
      </c>
      <c r="Z5" s="8" t="s">
        <v>87</v>
      </c>
      <c r="AA5" s="12" t="s">
        <v>109</v>
      </c>
      <c r="AB5" s="138"/>
      <c r="AC5" s="138"/>
    </row>
    <row r="6">
      <c r="A6" s="57">
        <v>5.0</v>
      </c>
      <c r="B6" s="7" t="s">
        <v>428</v>
      </c>
      <c r="C6" s="57"/>
      <c r="D6" s="57"/>
      <c r="E6" s="46">
        <v>5.0</v>
      </c>
      <c r="F6" s="9" t="str">
        <f t="shared" si="1"/>
        <v>AP</v>
      </c>
      <c r="G6" s="7" t="str">
        <f t="shared" si="2"/>
        <v>SAR-B-5-AP</v>
      </c>
      <c r="H6" s="57" t="s">
        <v>107</v>
      </c>
      <c r="I6" s="46" t="s">
        <v>303</v>
      </c>
      <c r="J6" s="57" t="s">
        <v>301</v>
      </c>
      <c r="K6" s="46" t="s">
        <v>432</v>
      </c>
      <c r="L6" s="10">
        <v>898000.0</v>
      </c>
      <c r="M6" s="51" t="s">
        <v>306</v>
      </c>
      <c r="N6" s="137">
        <v>3.0</v>
      </c>
      <c r="O6" s="57">
        <v>4.0</v>
      </c>
      <c r="P6" s="8" t="s">
        <v>89</v>
      </c>
      <c r="Q6" s="11"/>
      <c r="R6" s="57" t="s">
        <v>307</v>
      </c>
      <c r="S6" s="8" t="s">
        <v>308</v>
      </c>
      <c r="T6" s="80"/>
      <c r="U6" s="80"/>
      <c r="V6" s="15"/>
      <c r="W6" s="16"/>
      <c r="X6" s="138" t="s">
        <v>108</v>
      </c>
      <c r="Y6" s="18" t="s">
        <v>86</v>
      </c>
      <c r="Z6" s="8" t="s">
        <v>87</v>
      </c>
      <c r="AA6" s="12" t="s">
        <v>109</v>
      </c>
      <c r="AB6" s="138"/>
      <c r="AC6" s="138"/>
    </row>
    <row r="7">
      <c r="A7" s="57">
        <v>5.0</v>
      </c>
      <c r="B7" s="7" t="s">
        <v>428</v>
      </c>
      <c r="C7" s="57"/>
      <c r="D7" s="57"/>
      <c r="E7" s="46">
        <v>6.0</v>
      </c>
      <c r="F7" s="9" t="str">
        <f t="shared" si="1"/>
        <v>AP</v>
      </c>
      <c r="G7" s="7" t="str">
        <f t="shared" si="2"/>
        <v>SAR-B-6-AP</v>
      </c>
      <c r="H7" s="57" t="s">
        <v>107</v>
      </c>
      <c r="I7" s="46" t="s">
        <v>303</v>
      </c>
      <c r="J7" s="57" t="s">
        <v>301</v>
      </c>
      <c r="K7" s="46" t="s">
        <v>433</v>
      </c>
      <c r="L7" s="10">
        <v>910000.0</v>
      </c>
      <c r="M7" s="51" t="s">
        <v>306</v>
      </c>
      <c r="N7" s="137">
        <v>3.0</v>
      </c>
      <c r="O7" s="57">
        <v>4.0</v>
      </c>
      <c r="P7" s="8" t="s">
        <v>89</v>
      </c>
      <c r="Q7" s="11"/>
      <c r="R7" s="57" t="s">
        <v>307</v>
      </c>
      <c r="S7" s="8" t="s">
        <v>308</v>
      </c>
      <c r="T7" s="80"/>
      <c r="U7" s="80"/>
      <c r="V7" s="15"/>
      <c r="W7" s="16"/>
      <c r="X7" s="138" t="s">
        <v>108</v>
      </c>
      <c r="Y7" s="18" t="s">
        <v>86</v>
      </c>
      <c r="Z7" s="8" t="s">
        <v>87</v>
      </c>
      <c r="AA7" s="12" t="s">
        <v>109</v>
      </c>
      <c r="AB7" s="138"/>
      <c r="AC7" s="138"/>
    </row>
    <row r="8">
      <c r="A8" s="57">
        <v>5.0</v>
      </c>
      <c r="B8" s="7" t="s">
        <v>428</v>
      </c>
      <c r="C8" s="57"/>
      <c r="D8" s="57"/>
      <c r="E8" s="46">
        <v>7.0</v>
      </c>
      <c r="F8" s="9" t="str">
        <f t="shared" si="1"/>
        <v>AP</v>
      </c>
      <c r="G8" s="7" t="str">
        <f t="shared" si="2"/>
        <v>SAR-B-7-AP</v>
      </c>
      <c r="H8" s="57" t="s">
        <v>107</v>
      </c>
      <c r="I8" s="46" t="s">
        <v>303</v>
      </c>
      <c r="J8" s="57" t="s">
        <v>301</v>
      </c>
      <c r="K8" s="46" t="s">
        <v>434</v>
      </c>
      <c r="L8" s="10">
        <v>910000.0</v>
      </c>
      <c r="M8" s="51" t="s">
        <v>306</v>
      </c>
      <c r="N8" s="137">
        <v>3.0</v>
      </c>
      <c r="O8" s="57">
        <v>4.0</v>
      </c>
      <c r="P8" s="8" t="s">
        <v>89</v>
      </c>
      <c r="Q8" s="11"/>
      <c r="R8" s="57" t="s">
        <v>307</v>
      </c>
      <c r="S8" s="8" t="s">
        <v>308</v>
      </c>
      <c r="T8" s="80"/>
      <c r="U8" s="80"/>
      <c r="V8" s="15"/>
      <c r="W8" s="16"/>
      <c r="X8" s="138" t="s">
        <v>108</v>
      </c>
      <c r="Y8" s="18" t="s">
        <v>86</v>
      </c>
      <c r="Z8" s="8" t="s">
        <v>87</v>
      </c>
      <c r="AA8" s="12" t="s">
        <v>109</v>
      </c>
      <c r="AB8" s="138"/>
      <c r="AC8" s="138"/>
    </row>
    <row r="9">
      <c r="A9" s="57">
        <v>5.0</v>
      </c>
      <c r="B9" s="7" t="s">
        <v>428</v>
      </c>
      <c r="C9" s="57"/>
      <c r="D9" s="57"/>
      <c r="E9" s="46">
        <v>8.0</v>
      </c>
      <c r="F9" s="9" t="str">
        <f t="shared" si="1"/>
        <v>AP</v>
      </c>
      <c r="G9" s="7" t="str">
        <f t="shared" si="2"/>
        <v>SAR-C-8-AP</v>
      </c>
      <c r="H9" s="57" t="s">
        <v>107</v>
      </c>
      <c r="I9" s="46" t="s">
        <v>317</v>
      </c>
      <c r="J9" s="57" t="s">
        <v>301</v>
      </c>
      <c r="K9" s="46" t="s">
        <v>432</v>
      </c>
      <c r="L9" s="10">
        <v>830000.0</v>
      </c>
      <c r="M9" s="51" t="s">
        <v>296</v>
      </c>
      <c r="N9" s="137">
        <v>3.0</v>
      </c>
      <c r="O9" s="57">
        <v>4.0</v>
      </c>
      <c r="P9" s="8" t="s">
        <v>89</v>
      </c>
      <c r="Q9" s="11"/>
      <c r="R9" s="57" t="s">
        <v>307</v>
      </c>
      <c r="S9" s="8" t="s">
        <v>318</v>
      </c>
      <c r="T9" s="80"/>
      <c r="U9" s="80"/>
      <c r="V9" s="15"/>
      <c r="W9" s="16"/>
      <c r="X9" s="138" t="s">
        <v>108</v>
      </c>
      <c r="Y9" s="18" t="s">
        <v>86</v>
      </c>
      <c r="Z9" s="8" t="s">
        <v>87</v>
      </c>
      <c r="AA9" s="12" t="s">
        <v>109</v>
      </c>
      <c r="AB9" s="138"/>
      <c r="AC9" s="138"/>
    </row>
    <row r="10">
      <c r="A10" s="57">
        <v>5.0</v>
      </c>
      <c r="B10" s="7" t="s">
        <v>428</v>
      </c>
      <c r="C10" s="57"/>
      <c r="D10" s="57"/>
      <c r="E10" s="46">
        <v>9.0</v>
      </c>
      <c r="F10" s="9" t="str">
        <f t="shared" si="1"/>
        <v>AP</v>
      </c>
      <c r="G10" s="7" t="str">
        <f t="shared" si="2"/>
        <v>SAR-C-9-AP</v>
      </c>
      <c r="H10" s="57" t="s">
        <v>107</v>
      </c>
      <c r="I10" s="46" t="s">
        <v>317</v>
      </c>
      <c r="J10" s="57" t="s">
        <v>301</v>
      </c>
      <c r="K10" s="46" t="s">
        <v>432</v>
      </c>
      <c r="L10" s="10">
        <v>830000.0</v>
      </c>
      <c r="M10" s="51" t="s">
        <v>296</v>
      </c>
      <c r="N10" s="137">
        <v>3.0</v>
      </c>
      <c r="O10" s="57">
        <v>4.0</v>
      </c>
      <c r="P10" s="8" t="s">
        <v>89</v>
      </c>
      <c r="Q10" s="11"/>
      <c r="R10" s="57" t="s">
        <v>307</v>
      </c>
      <c r="S10" s="8" t="s">
        <v>318</v>
      </c>
      <c r="T10" s="80"/>
      <c r="U10" s="80"/>
      <c r="V10" s="15"/>
      <c r="W10" s="16"/>
      <c r="X10" s="138" t="s">
        <v>108</v>
      </c>
      <c r="Y10" s="18" t="s">
        <v>86</v>
      </c>
      <c r="Z10" s="8" t="s">
        <v>87</v>
      </c>
      <c r="AA10" s="12" t="s">
        <v>109</v>
      </c>
      <c r="AB10" s="138"/>
      <c r="AC10" s="138"/>
    </row>
    <row r="11">
      <c r="A11" s="57">
        <v>5.0</v>
      </c>
      <c r="B11" s="7" t="s">
        <v>428</v>
      </c>
      <c r="C11" s="57"/>
      <c r="D11" s="57"/>
      <c r="E11" s="46">
        <v>10.0</v>
      </c>
      <c r="F11" s="9" t="str">
        <f t="shared" si="1"/>
        <v>AP</v>
      </c>
      <c r="G11" s="7" t="str">
        <f t="shared" si="2"/>
        <v>SAR-C-10-AP</v>
      </c>
      <c r="H11" s="57" t="s">
        <v>107</v>
      </c>
      <c r="I11" s="46" t="s">
        <v>317</v>
      </c>
      <c r="J11" s="57" t="s">
        <v>301</v>
      </c>
      <c r="K11" s="46" t="s">
        <v>433</v>
      </c>
      <c r="L11" s="10">
        <v>910000.0</v>
      </c>
      <c r="M11" s="51" t="s">
        <v>306</v>
      </c>
      <c r="N11" s="137">
        <v>3.0</v>
      </c>
      <c r="O11" s="57">
        <v>4.0</v>
      </c>
      <c r="P11" s="8" t="s">
        <v>89</v>
      </c>
      <c r="Q11" s="11"/>
      <c r="R11" s="57" t="s">
        <v>307</v>
      </c>
      <c r="S11" s="8" t="s">
        <v>318</v>
      </c>
      <c r="T11" s="80"/>
      <c r="U11" s="80"/>
      <c r="V11" s="15"/>
      <c r="W11" s="16"/>
      <c r="X11" s="138" t="s">
        <v>108</v>
      </c>
      <c r="Y11" s="18" t="s">
        <v>86</v>
      </c>
      <c r="Z11" s="8" t="s">
        <v>87</v>
      </c>
      <c r="AA11" s="12" t="s">
        <v>109</v>
      </c>
      <c r="AB11" s="138"/>
      <c r="AC11" s="138"/>
    </row>
    <row r="12">
      <c r="A12" s="57">
        <v>5.0</v>
      </c>
      <c r="B12" s="7" t="s">
        <v>428</v>
      </c>
      <c r="C12" s="57"/>
      <c r="D12" s="57"/>
      <c r="E12" s="46">
        <v>11.0</v>
      </c>
      <c r="F12" s="9" t="str">
        <f t="shared" si="1"/>
        <v>AP</v>
      </c>
      <c r="G12" s="7" t="str">
        <f t="shared" si="2"/>
        <v>SAR-C-11-AP</v>
      </c>
      <c r="H12" s="57" t="s">
        <v>107</v>
      </c>
      <c r="I12" s="46" t="s">
        <v>317</v>
      </c>
      <c r="J12" s="57" t="s">
        <v>301</v>
      </c>
      <c r="K12" s="46" t="s">
        <v>434</v>
      </c>
      <c r="L12" s="10">
        <v>910000.0</v>
      </c>
      <c r="M12" s="51" t="s">
        <v>306</v>
      </c>
      <c r="N12" s="137">
        <v>3.0</v>
      </c>
      <c r="O12" s="57">
        <v>4.0</v>
      </c>
      <c r="P12" s="8" t="s">
        <v>89</v>
      </c>
      <c r="Q12" s="11"/>
      <c r="R12" s="57" t="s">
        <v>307</v>
      </c>
      <c r="S12" s="8" t="s">
        <v>318</v>
      </c>
      <c r="T12" s="80"/>
      <c r="U12" s="80"/>
      <c r="V12" s="15"/>
      <c r="W12" s="16"/>
      <c r="X12" s="138" t="s">
        <v>108</v>
      </c>
      <c r="Y12" s="18" t="s">
        <v>86</v>
      </c>
      <c r="Z12" s="8" t="s">
        <v>87</v>
      </c>
      <c r="AA12" s="12" t="s">
        <v>109</v>
      </c>
      <c r="AB12" s="138"/>
      <c r="AC12" s="138"/>
    </row>
    <row r="13">
      <c r="A13" s="57">
        <v>5.0</v>
      </c>
      <c r="B13" s="7" t="s">
        <v>428</v>
      </c>
      <c r="C13" s="57"/>
      <c r="D13" s="57"/>
      <c r="E13" s="46">
        <v>12.0</v>
      </c>
      <c r="F13" s="9" t="str">
        <f t="shared" si="1"/>
        <v>AP</v>
      </c>
      <c r="G13" s="7" t="str">
        <f t="shared" si="2"/>
        <v>SAR-D-12-AP</v>
      </c>
      <c r="H13" s="57" t="s">
        <v>107</v>
      </c>
      <c r="I13" s="46" t="s">
        <v>319</v>
      </c>
      <c r="J13" s="57" t="s">
        <v>301</v>
      </c>
      <c r="K13" s="46" t="s">
        <v>435</v>
      </c>
      <c r="L13" s="10">
        <v>1130000.0</v>
      </c>
      <c r="M13" s="51" t="s">
        <v>296</v>
      </c>
      <c r="N13" s="137">
        <v>3.0</v>
      </c>
      <c r="O13" s="57">
        <v>4.0</v>
      </c>
      <c r="P13" s="8" t="s">
        <v>89</v>
      </c>
      <c r="Q13" s="11"/>
      <c r="R13" s="57" t="s">
        <v>307</v>
      </c>
      <c r="S13" s="8" t="s">
        <v>320</v>
      </c>
      <c r="T13" s="80"/>
      <c r="U13" s="80"/>
      <c r="V13" s="15"/>
      <c r="W13" s="16"/>
      <c r="X13" s="138" t="s">
        <v>108</v>
      </c>
      <c r="Y13" s="18" t="s">
        <v>86</v>
      </c>
      <c r="Z13" s="8" t="s">
        <v>87</v>
      </c>
      <c r="AA13" s="12" t="s">
        <v>109</v>
      </c>
      <c r="AB13" s="138"/>
      <c r="AC13" s="138"/>
    </row>
    <row r="14">
      <c r="A14" s="57">
        <v>5.0</v>
      </c>
      <c r="B14" s="7" t="s">
        <v>428</v>
      </c>
      <c r="C14" s="57"/>
      <c r="D14" s="57"/>
      <c r="E14" s="46">
        <v>13.0</v>
      </c>
      <c r="F14" s="9" t="str">
        <f t="shared" si="1"/>
        <v>AP</v>
      </c>
      <c r="G14" s="7" t="str">
        <f t="shared" si="2"/>
        <v>SAR-D-13-AP</v>
      </c>
      <c r="H14" s="57" t="s">
        <v>107</v>
      </c>
      <c r="I14" s="46" t="s">
        <v>319</v>
      </c>
      <c r="J14" s="57" t="s">
        <v>301</v>
      </c>
      <c r="K14" s="46" t="s">
        <v>436</v>
      </c>
      <c r="L14" s="10">
        <v>1130000.0</v>
      </c>
      <c r="M14" s="51" t="s">
        <v>296</v>
      </c>
      <c r="N14" s="137">
        <v>3.0</v>
      </c>
      <c r="O14" s="57">
        <v>4.0</v>
      </c>
      <c r="P14" s="8" t="s">
        <v>89</v>
      </c>
      <c r="Q14" s="11"/>
      <c r="R14" s="57" t="s">
        <v>307</v>
      </c>
      <c r="S14" s="8" t="s">
        <v>320</v>
      </c>
      <c r="T14" s="80"/>
      <c r="U14" s="80"/>
      <c r="V14" s="15"/>
      <c r="W14" s="16"/>
      <c r="X14" s="138" t="s">
        <v>108</v>
      </c>
      <c r="Y14" s="18" t="s">
        <v>86</v>
      </c>
      <c r="Z14" s="8" t="s">
        <v>87</v>
      </c>
      <c r="AA14" s="12" t="s">
        <v>109</v>
      </c>
      <c r="AB14" s="138"/>
      <c r="AC14" s="138"/>
    </row>
  </sheetData>
  <dataValidations>
    <dataValidation type="list" allowBlank="1" showErrorMessage="1" sqref="P2:P14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M2:M14">
      <formula1>"تحت الإنشاء,متاحة,مباعة,محجوزة"</formula1>
    </dataValidation>
    <dataValidation type="list" allowBlank="1" showErrorMessage="1" sqref="R2:R14">
      <formula1>"مؤسس,لا يوجد,جاهز"</formula1>
    </dataValidation>
    <dataValidation type="list" allowBlank="1" showErrorMessage="1" sqref="S2:S14">
      <formula1>"ارضي,اول,ثاني,ثالث"</formula1>
    </dataValidation>
    <dataValidation type="list" allowBlank="1" showErrorMessage="1" sqref="W2:W14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4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46">
        <v>6.0</v>
      </c>
      <c r="B2" s="46" t="s">
        <v>111</v>
      </c>
      <c r="C2" s="46"/>
      <c r="D2" s="46"/>
      <c r="E2" s="46">
        <v>1.0</v>
      </c>
      <c r="F2" s="9" t="str">
        <f t="shared" ref="F2:F6" si="1">IF(J2="دور","FL",
IF(J2="شقة","AP",
IF(J2="فيلا","VI",
IF(J2="تاون هاوس","TH",""))))
</f>
        <v>VI</v>
      </c>
      <c r="G2" s="7" t="str">
        <f t="shared" ref="G2:G6" si="2">B2&amp;"-"&amp;I2&amp;"-"&amp;E2&amp;"-"&amp;F2</f>
        <v>MAJ79-A-1-VI</v>
      </c>
      <c r="H2" s="51" t="s">
        <v>437</v>
      </c>
      <c r="I2" s="46" t="s">
        <v>294</v>
      </c>
      <c r="J2" s="51" t="s">
        <v>313</v>
      </c>
      <c r="K2" s="46">
        <v>221.0</v>
      </c>
      <c r="L2" s="10">
        <v>3700000.0</v>
      </c>
      <c r="M2" s="51" t="s">
        <v>296</v>
      </c>
      <c r="N2" s="142">
        <v>4.0</v>
      </c>
      <c r="O2" s="46">
        <v>6.0</v>
      </c>
      <c r="P2" s="8" t="s">
        <v>89</v>
      </c>
      <c r="Q2" s="11"/>
      <c r="R2" s="57" t="s">
        <v>307</v>
      </c>
      <c r="S2" s="8"/>
      <c r="T2" s="80"/>
      <c r="U2" s="80"/>
      <c r="V2" s="15"/>
      <c r="W2" s="16"/>
      <c r="X2" s="139" t="s">
        <v>114</v>
      </c>
      <c r="Y2" s="18" t="s">
        <v>86</v>
      </c>
      <c r="Z2" s="8" t="s">
        <v>87</v>
      </c>
      <c r="AA2" s="12" t="s">
        <v>115</v>
      </c>
      <c r="AB2" s="139"/>
      <c r="AC2" s="139"/>
    </row>
    <row r="3">
      <c r="A3" s="46">
        <v>6.0</v>
      </c>
      <c r="B3" s="46" t="s">
        <v>111</v>
      </c>
      <c r="C3" s="46"/>
      <c r="D3" s="46"/>
      <c r="E3" s="46">
        <v>2.0</v>
      </c>
      <c r="F3" s="9" t="str">
        <f t="shared" si="1"/>
        <v>VI</v>
      </c>
      <c r="G3" s="7" t="str">
        <f t="shared" si="2"/>
        <v>MAJ79-B-2-VI</v>
      </c>
      <c r="H3" s="51" t="s">
        <v>437</v>
      </c>
      <c r="I3" s="46" t="s">
        <v>303</v>
      </c>
      <c r="J3" s="51" t="s">
        <v>313</v>
      </c>
      <c r="K3" s="46">
        <v>204.0</v>
      </c>
      <c r="L3" s="10">
        <v>3900000.0</v>
      </c>
      <c r="M3" s="51" t="s">
        <v>296</v>
      </c>
      <c r="N3" s="142">
        <v>4.0</v>
      </c>
      <c r="O3" s="46">
        <v>6.0</v>
      </c>
      <c r="P3" s="8" t="s">
        <v>89</v>
      </c>
      <c r="Q3" s="11"/>
      <c r="R3" s="57" t="s">
        <v>307</v>
      </c>
      <c r="S3" s="8"/>
      <c r="T3" s="80"/>
      <c r="U3" s="80"/>
      <c r="V3" s="15"/>
      <c r="W3" s="16"/>
      <c r="X3" s="139" t="s">
        <v>114</v>
      </c>
      <c r="Y3" s="18" t="s">
        <v>86</v>
      </c>
      <c r="Z3" s="8" t="s">
        <v>87</v>
      </c>
      <c r="AA3" s="12" t="s">
        <v>115</v>
      </c>
      <c r="AB3" s="139"/>
      <c r="AC3" s="139"/>
    </row>
    <row r="4">
      <c r="A4" s="46">
        <v>6.0</v>
      </c>
      <c r="B4" s="46" t="s">
        <v>111</v>
      </c>
      <c r="C4" s="46"/>
      <c r="D4" s="46"/>
      <c r="E4" s="46">
        <v>3.0</v>
      </c>
      <c r="F4" s="9" t="str">
        <f t="shared" si="1"/>
        <v>FL</v>
      </c>
      <c r="G4" s="7" t="str">
        <f t="shared" si="2"/>
        <v>MAJ79-G-3-FL</v>
      </c>
      <c r="H4" s="51" t="s">
        <v>437</v>
      </c>
      <c r="I4" s="46" t="s">
        <v>321</v>
      </c>
      <c r="J4" s="51" t="s">
        <v>295</v>
      </c>
      <c r="K4" s="46" t="s">
        <v>438</v>
      </c>
      <c r="L4" s="10">
        <v>2150000.0</v>
      </c>
      <c r="M4" s="51" t="s">
        <v>296</v>
      </c>
      <c r="N4" s="142">
        <v>3.0</v>
      </c>
      <c r="O4" s="46">
        <v>3.0</v>
      </c>
      <c r="P4" s="143" t="s">
        <v>116</v>
      </c>
      <c r="Q4" s="11"/>
      <c r="R4" s="57" t="s">
        <v>307</v>
      </c>
      <c r="S4" s="8" t="s">
        <v>298</v>
      </c>
      <c r="T4" s="80"/>
      <c r="U4" s="80"/>
      <c r="V4" s="15"/>
      <c r="W4" s="16"/>
      <c r="X4" s="139" t="s">
        <v>114</v>
      </c>
      <c r="Y4" s="18" t="s">
        <v>86</v>
      </c>
      <c r="Z4" s="8" t="s">
        <v>87</v>
      </c>
      <c r="AA4" s="12" t="s">
        <v>115</v>
      </c>
      <c r="AB4" s="139"/>
      <c r="AC4" s="139"/>
    </row>
    <row r="5">
      <c r="A5" s="46">
        <v>6.0</v>
      </c>
      <c r="B5" s="46" t="s">
        <v>111</v>
      </c>
      <c r="C5" s="46"/>
      <c r="D5" s="46"/>
      <c r="E5" s="46">
        <v>4.0</v>
      </c>
      <c r="F5" s="9" t="str">
        <f t="shared" si="1"/>
        <v>FL</v>
      </c>
      <c r="G5" s="7" t="str">
        <f t="shared" si="2"/>
        <v>MAJ79-G-4-FL</v>
      </c>
      <c r="H5" s="51" t="s">
        <v>437</v>
      </c>
      <c r="I5" s="46" t="s">
        <v>321</v>
      </c>
      <c r="J5" s="51" t="s">
        <v>295</v>
      </c>
      <c r="K5" s="46" t="s">
        <v>439</v>
      </c>
      <c r="L5" s="10">
        <v>1950000.0</v>
      </c>
      <c r="M5" s="51" t="s">
        <v>296</v>
      </c>
      <c r="N5" s="142">
        <v>3.0</v>
      </c>
      <c r="O5" s="46">
        <v>3.0</v>
      </c>
      <c r="P5" s="8" t="s">
        <v>89</v>
      </c>
      <c r="Q5" s="11"/>
      <c r="R5" s="57" t="s">
        <v>307</v>
      </c>
      <c r="S5" s="8" t="s">
        <v>308</v>
      </c>
      <c r="T5" s="80"/>
      <c r="U5" s="80"/>
      <c r="V5" s="15"/>
      <c r="W5" s="16"/>
      <c r="X5" s="139" t="s">
        <v>114</v>
      </c>
      <c r="Y5" s="18" t="s">
        <v>86</v>
      </c>
      <c r="Z5" s="8" t="s">
        <v>87</v>
      </c>
      <c r="AA5" s="12" t="s">
        <v>115</v>
      </c>
      <c r="AB5" s="139"/>
      <c r="AC5" s="139"/>
    </row>
    <row r="6">
      <c r="A6" s="46">
        <v>6.0</v>
      </c>
      <c r="B6" s="46" t="s">
        <v>111</v>
      </c>
      <c r="C6" s="46"/>
      <c r="D6" s="46"/>
      <c r="E6" s="46">
        <v>5.0</v>
      </c>
      <c r="F6" s="9" t="str">
        <f t="shared" si="1"/>
        <v>FL</v>
      </c>
      <c r="G6" s="7" t="str">
        <f t="shared" si="2"/>
        <v>MAJ79-G-5-FL</v>
      </c>
      <c r="H6" s="51" t="s">
        <v>437</v>
      </c>
      <c r="I6" s="46" t="s">
        <v>321</v>
      </c>
      <c r="J6" s="51" t="s">
        <v>295</v>
      </c>
      <c r="K6" s="46" t="s">
        <v>440</v>
      </c>
      <c r="L6" s="10">
        <v>1750000.0</v>
      </c>
      <c r="M6" s="51" t="s">
        <v>296</v>
      </c>
      <c r="N6" s="142">
        <v>3.0</v>
      </c>
      <c r="O6" s="46">
        <v>3.0</v>
      </c>
      <c r="P6" s="8" t="s">
        <v>89</v>
      </c>
      <c r="Q6" s="11"/>
      <c r="R6" s="57" t="s">
        <v>307</v>
      </c>
      <c r="S6" s="8" t="s">
        <v>318</v>
      </c>
      <c r="T6" s="80"/>
      <c r="U6" s="80"/>
      <c r="V6" s="15"/>
      <c r="W6" s="16"/>
      <c r="X6" s="139" t="s">
        <v>114</v>
      </c>
      <c r="Y6" s="18" t="s">
        <v>86</v>
      </c>
      <c r="Z6" s="8" t="s">
        <v>87</v>
      </c>
      <c r="AA6" s="12" t="s">
        <v>115</v>
      </c>
      <c r="AB6" s="139"/>
      <c r="AC6" s="139"/>
    </row>
  </sheetData>
  <dataValidations>
    <dataValidation type="list" allowBlank="1" showErrorMessage="1" sqref="P2:P6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M2:M6">
      <formula1>"تحت الإنشاء,متاحة,مباعة,محجوزة"</formula1>
    </dataValidation>
    <dataValidation type="list" allowBlank="1" showErrorMessage="1" sqref="R2:R6">
      <formula1>"مؤسس,لا يوجد,جاهز"</formula1>
    </dataValidation>
    <dataValidation type="list" allowBlank="1" showErrorMessage="1" sqref="S2:S6">
      <formula1>"ارضي,اول,ثاني,ثالث"</formula1>
    </dataValidation>
    <dataValidation type="list" allowBlank="1" showErrorMessage="1" sqref="W2:W6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46">
        <v>8.0</v>
      </c>
      <c r="B2" s="46" t="s">
        <v>117</v>
      </c>
      <c r="C2" s="68" t="s">
        <v>118</v>
      </c>
      <c r="D2" s="56">
        <v>106.0</v>
      </c>
      <c r="E2" s="46">
        <v>1.0</v>
      </c>
      <c r="F2" s="9" t="str">
        <f t="shared" ref="F2:F3" si="1">IF(J2="دور","FL",
IF(J2="شقة","AP",
IF(J2="فيلا","VI",
IF(J2="تاون هاوس","TH",""))))
</f>
        <v>FL</v>
      </c>
      <c r="G2" s="7" t="str">
        <f t="shared" ref="G2:G3" si="2">B2&amp;"-"&amp;I2&amp;"-"&amp;E2&amp;"-"&amp;F2</f>
        <v>ALN106-A-1-FL</v>
      </c>
      <c r="H2" s="51" t="s">
        <v>441</v>
      </c>
      <c r="I2" s="46" t="s">
        <v>294</v>
      </c>
      <c r="J2" s="51" t="s">
        <v>295</v>
      </c>
      <c r="K2" s="46">
        <v>170.0</v>
      </c>
      <c r="L2" s="10">
        <v>1449000.0</v>
      </c>
      <c r="M2" s="51" t="s">
        <v>322</v>
      </c>
      <c r="N2" s="142">
        <v>3.0</v>
      </c>
      <c r="O2" s="46">
        <v>4.0</v>
      </c>
      <c r="P2" s="143" t="s">
        <v>122</v>
      </c>
      <c r="Q2" s="11"/>
      <c r="R2" s="51" t="s">
        <v>314</v>
      </c>
      <c r="S2" s="8" t="s">
        <v>308</v>
      </c>
      <c r="T2" s="80"/>
      <c r="U2" s="80"/>
      <c r="V2" s="144">
        <v>45930.0</v>
      </c>
      <c r="W2" s="16" t="s">
        <v>323</v>
      </c>
      <c r="X2" s="139" t="s">
        <v>120</v>
      </c>
      <c r="Y2" s="18" t="s">
        <v>86</v>
      </c>
      <c r="Z2" s="8" t="s">
        <v>87</v>
      </c>
      <c r="AA2" s="12" t="s">
        <v>99</v>
      </c>
      <c r="AB2" s="139" t="s">
        <v>442</v>
      </c>
      <c r="AC2" s="139" t="s">
        <v>325</v>
      </c>
    </row>
    <row r="3">
      <c r="A3" s="46">
        <v>8.0</v>
      </c>
      <c r="B3" s="46" t="s">
        <v>117</v>
      </c>
      <c r="C3" s="68" t="s">
        <v>118</v>
      </c>
      <c r="D3" s="56">
        <v>106.0</v>
      </c>
      <c r="E3" s="46">
        <v>2.0</v>
      </c>
      <c r="F3" s="9" t="str">
        <f t="shared" si="1"/>
        <v>FL</v>
      </c>
      <c r="G3" s="7" t="str">
        <f t="shared" si="2"/>
        <v>ALN106-B-2-FL</v>
      </c>
      <c r="H3" s="51" t="s">
        <v>441</v>
      </c>
      <c r="I3" s="46" t="s">
        <v>303</v>
      </c>
      <c r="J3" s="51" t="s">
        <v>295</v>
      </c>
      <c r="K3" s="46">
        <v>170.0</v>
      </c>
      <c r="L3" s="10">
        <v>1399000.0</v>
      </c>
      <c r="M3" s="51" t="s">
        <v>322</v>
      </c>
      <c r="N3" s="142">
        <v>3.0</v>
      </c>
      <c r="O3" s="46">
        <v>4.0</v>
      </c>
      <c r="P3" s="143" t="s">
        <v>122</v>
      </c>
      <c r="Q3" s="11"/>
      <c r="R3" s="51" t="s">
        <v>314</v>
      </c>
      <c r="S3" s="8" t="s">
        <v>308</v>
      </c>
      <c r="T3" s="80"/>
      <c r="U3" s="80"/>
      <c r="V3" s="144">
        <v>45930.0</v>
      </c>
      <c r="W3" s="16"/>
      <c r="X3" s="139" t="s">
        <v>120</v>
      </c>
      <c r="Y3" s="18" t="s">
        <v>86</v>
      </c>
      <c r="Z3" s="8" t="s">
        <v>87</v>
      </c>
      <c r="AA3" s="12" t="s">
        <v>99</v>
      </c>
      <c r="AB3" s="139" t="s">
        <v>442</v>
      </c>
      <c r="AC3" s="139" t="s">
        <v>326</v>
      </c>
    </row>
  </sheetData>
  <dataValidations>
    <dataValidation type="list" allowBlank="1" showErrorMessage="1" sqref="P2:P3">
      <formula1>"صالة جلوس,مجلس,غرفة سائق,صالة طعام,غرفة خادمة,بلكونة,غرفة خدمات,فناء خارجي,غرفة غسيل"</formula1>
    </dataValidation>
    <dataValidation type="list" allowBlank="1" showErrorMessage="1" sqref="M2:M3">
      <formula1>"تحت الإنشاء,متاحة,مباعة,محجوزة"</formula1>
    </dataValidation>
    <dataValidation type="list" allowBlank="1" showErrorMessage="1" sqref="R2:R3">
      <formula1>"مؤسس,لا يوجد,جاهز"</formula1>
    </dataValidation>
    <dataValidation type="list" allowBlank="1" showErrorMessage="1" sqref="S2:S3">
      <formula1>"ارضي,اول,ثاني,ثالث"</formula1>
    </dataValidation>
    <dataValidation type="list" allowBlank="1" showErrorMessage="1" sqref="W2:W3">
      <formula1>"زاوية,واجهة"</formula1>
    </dataValidation>
  </dataValidations>
  <hyperlinks>
    <hyperlink r:id="rId1" ref="X2"/>
    <hyperlink r:id="rId2" ref="AB2"/>
    <hyperlink r:id="rId3" ref="AC2"/>
    <hyperlink r:id="rId4" ref="X3"/>
    <hyperlink r:id="rId5" ref="AB3"/>
    <hyperlink r:id="rId6" ref="AC3"/>
  </hyperlinks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53">
        <v>9.0</v>
      </c>
      <c r="B2" s="53" t="s">
        <v>123</v>
      </c>
      <c r="C2" s="12" t="s">
        <v>118</v>
      </c>
      <c r="D2" s="53">
        <v>108.0</v>
      </c>
      <c r="E2" s="145" t="s">
        <v>292</v>
      </c>
      <c r="F2" s="9" t="str">
        <f t="shared" ref="F2:F7" si="1">IF(J2="دور","FL",
IF(J2="شقة","AP",
IF(J2="فيلا","VI",
IF(J2="تاون هاوس","TH",""))))
</f>
        <v>FL</v>
      </c>
      <c r="G2" s="7" t="str">
        <f t="shared" ref="G2:G7" si="2">B2&amp;"-"&amp;I2&amp;"-"&amp;E2&amp;"-"&amp;F2</f>
        <v>ALN108-1-1-FL</v>
      </c>
      <c r="H2" s="12" t="s">
        <v>443</v>
      </c>
      <c r="I2" s="53">
        <v>1.0</v>
      </c>
      <c r="J2" s="8" t="s">
        <v>295</v>
      </c>
      <c r="K2" s="192">
        <v>154.0</v>
      </c>
      <c r="L2" s="136">
        <v>1599000.0</v>
      </c>
      <c r="M2" s="12" t="s">
        <v>322</v>
      </c>
      <c r="N2" s="11">
        <v>3.0</v>
      </c>
      <c r="O2" s="7">
        <v>3.0</v>
      </c>
      <c r="P2" s="12" t="s">
        <v>327</v>
      </c>
      <c r="Q2" s="53">
        <v>47.0</v>
      </c>
      <c r="R2" s="12" t="s">
        <v>314</v>
      </c>
      <c r="S2" s="8" t="s">
        <v>298</v>
      </c>
      <c r="T2" s="13"/>
      <c r="U2" s="14"/>
      <c r="V2" s="144">
        <v>45991.0</v>
      </c>
      <c r="W2" s="16"/>
      <c r="X2" s="146" t="s">
        <v>125</v>
      </c>
      <c r="Y2" s="18" t="s">
        <v>86</v>
      </c>
      <c r="Z2" s="8" t="s">
        <v>87</v>
      </c>
      <c r="AA2" s="12" t="s">
        <v>126</v>
      </c>
      <c r="AB2" s="17" t="s">
        <v>444</v>
      </c>
      <c r="AC2" s="17" t="s">
        <v>329</v>
      </c>
    </row>
    <row r="3">
      <c r="A3" s="147">
        <v>9.0</v>
      </c>
      <c r="B3" s="53" t="s">
        <v>123</v>
      </c>
      <c r="C3" s="148" t="s">
        <v>118</v>
      </c>
      <c r="D3" s="147">
        <v>108.0</v>
      </c>
      <c r="E3" s="149" t="s">
        <v>299</v>
      </c>
      <c r="F3" s="9" t="str">
        <f t="shared" si="1"/>
        <v>FL</v>
      </c>
      <c r="G3" s="7" t="str">
        <f t="shared" si="2"/>
        <v>ALN108-1-2-FL</v>
      </c>
      <c r="H3" s="148" t="s">
        <v>443</v>
      </c>
      <c r="I3" s="150">
        <v>1.0</v>
      </c>
      <c r="J3" s="148" t="s">
        <v>295</v>
      </c>
      <c r="K3" s="193">
        <v>169.0</v>
      </c>
      <c r="L3" s="151">
        <v>1399000.0</v>
      </c>
      <c r="M3" s="152" t="s">
        <v>322</v>
      </c>
      <c r="N3" s="153">
        <v>3.0</v>
      </c>
      <c r="O3" s="154">
        <v>5.0</v>
      </c>
      <c r="P3" s="152" t="s">
        <v>330</v>
      </c>
      <c r="Q3" s="150">
        <v>21.0</v>
      </c>
      <c r="R3" s="152" t="s">
        <v>314</v>
      </c>
      <c r="S3" s="152" t="s">
        <v>308</v>
      </c>
      <c r="T3" s="155"/>
      <c r="U3" s="155"/>
      <c r="V3" s="156">
        <v>45991.0</v>
      </c>
      <c r="W3" s="157"/>
      <c r="X3" s="146" t="s">
        <v>125</v>
      </c>
      <c r="Y3" s="158" t="s">
        <v>86</v>
      </c>
      <c r="Z3" s="159" t="s">
        <v>87</v>
      </c>
      <c r="AA3" s="12" t="s">
        <v>126</v>
      </c>
      <c r="AB3" s="160" t="s">
        <v>444</v>
      </c>
      <c r="AC3" s="160" t="s">
        <v>331</v>
      </c>
    </row>
    <row r="4">
      <c r="A4" s="147">
        <v>9.0</v>
      </c>
      <c r="B4" s="53" t="s">
        <v>123</v>
      </c>
      <c r="C4" s="148" t="s">
        <v>118</v>
      </c>
      <c r="D4" s="147">
        <v>108.0</v>
      </c>
      <c r="E4" s="149" t="s">
        <v>292</v>
      </c>
      <c r="F4" s="9" t="str">
        <f t="shared" si="1"/>
        <v>FL</v>
      </c>
      <c r="G4" s="7" t="str">
        <f t="shared" si="2"/>
        <v>ALN108-2-1-FL</v>
      </c>
      <c r="H4" s="148" t="s">
        <v>443</v>
      </c>
      <c r="I4" s="150">
        <v>2.0</v>
      </c>
      <c r="J4" s="148" t="s">
        <v>295</v>
      </c>
      <c r="K4" s="193">
        <v>155.0</v>
      </c>
      <c r="L4" s="151">
        <v>1599000.0</v>
      </c>
      <c r="M4" s="152" t="s">
        <v>322</v>
      </c>
      <c r="N4" s="153">
        <v>3.0</v>
      </c>
      <c r="O4" s="161">
        <v>3.0</v>
      </c>
      <c r="P4" s="152" t="s">
        <v>332</v>
      </c>
      <c r="Q4" s="150">
        <v>47.0</v>
      </c>
      <c r="R4" s="152" t="s">
        <v>314</v>
      </c>
      <c r="S4" s="152" t="s">
        <v>298</v>
      </c>
      <c r="T4" s="155"/>
      <c r="U4" s="155"/>
      <c r="V4" s="156">
        <v>45991.0</v>
      </c>
      <c r="W4" s="157"/>
      <c r="X4" s="146" t="s">
        <v>125</v>
      </c>
      <c r="Y4" s="158" t="s">
        <v>86</v>
      </c>
      <c r="Z4" s="159" t="s">
        <v>87</v>
      </c>
      <c r="AA4" s="12" t="s">
        <v>126</v>
      </c>
      <c r="AB4" s="160" t="s">
        <v>444</v>
      </c>
      <c r="AC4" s="160" t="s">
        <v>333</v>
      </c>
    </row>
    <row r="5">
      <c r="A5" s="147">
        <v>9.0</v>
      </c>
      <c r="B5" s="53" t="s">
        <v>123</v>
      </c>
      <c r="C5" s="148" t="s">
        <v>118</v>
      </c>
      <c r="D5" s="147">
        <v>108.0</v>
      </c>
      <c r="E5" s="149" t="s">
        <v>299</v>
      </c>
      <c r="F5" s="9" t="str">
        <f t="shared" si="1"/>
        <v>FL</v>
      </c>
      <c r="G5" s="7" t="str">
        <f t="shared" si="2"/>
        <v>ALN108-2-2-FL</v>
      </c>
      <c r="H5" s="148" t="s">
        <v>443</v>
      </c>
      <c r="I5" s="150">
        <v>2.0</v>
      </c>
      <c r="J5" s="148" t="s">
        <v>295</v>
      </c>
      <c r="K5" s="193">
        <v>170.0</v>
      </c>
      <c r="L5" s="151">
        <v>1349000.0</v>
      </c>
      <c r="M5" s="152" t="s">
        <v>322</v>
      </c>
      <c r="N5" s="153">
        <v>3.0</v>
      </c>
      <c r="O5" s="154">
        <v>4.0</v>
      </c>
      <c r="P5" s="152" t="s">
        <v>334</v>
      </c>
      <c r="Q5" s="155"/>
      <c r="R5" s="152" t="s">
        <v>314</v>
      </c>
      <c r="S5" s="152" t="s">
        <v>308</v>
      </c>
      <c r="T5" s="155"/>
      <c r="U5" s="155"/>
      <c r="V5" s="156">
        <v>45991.0</v>
      </c>
      <c r="W5" s="157"/>
      <c r="X5" s="146" t="s">
        <v>125</v>
      </c>
      <c r="Y5" s="158" t="s">
        <v>86</v>
      </c>
      <c r="Z5" s="159" t="s">
        <v>87</v>
      </c>
      <c r="AA5" s="12" t="s">
        <v>126</v>
      </c>
      <c r="AB5" s="160" t="s">
        <v>444</v>
      </c>
      <c r="AC5" s="160" t="s">
        <v>335</v>
      </c>
    </row>
    <row r="6">
      <c r="A6" s="147">
        <v>9.0</v>
      </c>
      <c r="B6" s="53" t="s">
        <v>123</v>
      </c>
      <c r="C6" s="148" t="s">
        <v>118</v>
      </c>
      <c r="D6" s="147">
        <v>108.0</v>
      </c>
      <c r="E6" s="149" t="s">
        <v>292</v>
      </c>
      <c r="F6" s="9" t="str">
        <f t="shared" si="1"/>
        <v>FL</v>
      </c>
      <c r="G6" s="7" t="str">
        <f t="shared" si="2"/>
        <v>ALN108-3-1-FL</v>
      </c>
      <c r="H6" s="148" t="s">
        <v>443</v>
      </c>
      <c r="I6" s="150">
        <v>3.0</v>
      </c>
      <c r="J6" s="148" t="s">
        <v>295</v>
      </c>
      <c r="K6" s="193">
        <v>165.0</v>
      </c>
      <c r="L6" s="151">
        <v>1699000.0</v>
      </c>
      <c r="M6" s="152" t="s">
        <v>322</v>
      </c>
      <c r="N6" s="153">
        <v>3.0</v>
      </c>
      <c r="O6" s="154">
        <v>4.0</v>
      </c>
      <c r="P6" s="152" t="s">
        <v>336</v>
      </c>
      <c r="Q6" s="150">
        <v>65.0</v>
      </c>
      <c r="R6" s="152" t="s">
        <v>314</v>
      </c>
      <c r="S6" s="152" t="s">
        <v>298</v>
      </c>
      <c r="T6" s="155"/>
      <c r="U6" s="155"/>
      <c r="V6" s="156">
        <v>45991.0</v>
      </c>
      <c r="W6" s="157"/>
      <c r="X6" s="146" t="s">
        <v>125</v>
      </c>
      <c r="Y6" s="158" t="s">
        <v>86</v>
      </c>
      <c r="Z6" s="159" t="s">
        <v>87</v>
      </c>
      <c r="AA6" s="12" t="s">
        <v>126</v>
      </c>
      <c r="AB6" s="160" t="s">
        <v>444</v>
      </c>
      <c r="AC6" s="160" t="s">
        <v>337</v>
      </c>
    </row>
    <row r="7">
      <c r="A7" s="147">
        <v>9.0</v>
      </c>
      <c r="B7" s="53" t="s">
        <v>123</v>
      </c>
      <c r="C7" s="148" t="s">
        <v>118</v>
      </c>
      <c r="D7" s="147">
        <v>108.0</v>
      </c>
      <c r="E7" s="149" t="s">
        <v>299</v>
      </c>
      <c r="F7" s="9" t="str">
        <f t="shared" si="1"/>
        <v>FL</v>
      </c>
      <c r="G7" s="7" t="str">
        <f t="shared" si="2"/>
        <v>ALN108-3-2-FL</v>
      </c>
      <c r="H7" s="148" t="s">
        <v>443</v>
      </c>
      <c r="I7" s="150">
        <v>3.0</v>
      </c>
      <c r="J7" s="148" t="s">
        <v>295</v>
      </c>
      <c r="K7" s="193">
        <v>179.0</v>
      </c>
      <c r="L7" s="151">
        <v>1549000.0</v>
      </c>
      <c r="M7" s="152" t="s">
        <v>322</v>
      </c>
      <c r="N7" s="153">
        <v>3.0</v>
      </c>
      <c r="O7" s="154">
        <v>5.0</v>
      </c>
      <c r="P7" s="152" t="s">
        <v>338</v>
      </c>
      <c r="Q7" s="150">
        <v>11.0</v>
      </c>
      <c r="R7" s="152" t="s">
        <v>314</v>
      </c>
      <c r="S7" s="152" t="s">
        <v>308</v>
      </c>
      <c r="T7" s="155"/>
      <c r="U7" s="155"/>
      <c r="V7" s="156">
        <v>45991.0</v>
      </c>
      <c r="W7" s="157"/>
      <c r="X7" s="146" t="s">
        <v>125</v>
      </c>
      <c r="Y7" s="158" t="s">
        <v>86</v>
      </c>
      <c r="Z7" s="159" t="s">
        <v>87</v>
      </c>
      <c r="AA7" s="12" t="s">
        <v>126</v>
      </c>
      <c r="AB7" s="160" t="s">
        <v>444</v>
      </c>
      <c r="AC7" s="160" t="s">
        <v>339</v>
      </c>
    </row>
  </sheetData>
  <dataValidations>
    <dataValidation type="list" allowBlank="1" showErrorMessage="1" sqref="M2:M7">
      <formula1>"تحت الإنشاء,متاحة,مباعة,محجوزة"</formula1>
    </dataValidation>
    <dataValidation type="list" allowBlank="1" showErrorMessage="1" sqref="P2:P7">
      <formula1>"صالة جلوس,مجلس,غرفة سائق,صالة طعام,غرفة خادمة,بلكونة,فناء خارجي,غرفة خدمات,غرفة غسيل"</formula1>
    </dataValidation>
    <dataValidation type="list" allowBlank="1" showErrorMessage="1" sqref="R2:R7">
      <formula1>"مؤسس,لا يوجد,جاهز"</formula1>
    </dataValidation>
    <dataValidation type="list" allowBlank="1" showErrorMessage="1" sqref="S2:S7">
      <formula1>"ارضي,اول,ثاني,ثالث"</formula1>
    </dataValidation>
    <dataValidation type="list" allowBlank="1" showErrorMessage="1" sqref="W2:W7">
      <formula1>"زاوية,واجهة"</formula1>
    </dataValidation>
  </dataValidations>
  <hyperlinks>
    <hyperlink r:id="rId1" ref="X2"/>
    <hyperlink r:id="rId2" ref="AB2"/>
    <hyperlink r:id="rId3" ref="AC2"/>
    <hyperlink r:id="rId4" ref="X3"/>
    <hyperlink r:id="rId5" ref="AB3"/>
    <hyperlink r:id="rId6" ref="AC3"/>
    <hyperlink r:id="rId7" ref="X4"/>
    <hyperlink r:id="rId8" ref="AB4"/>
    <hyperlink r:id="rId9" ref="AC4"/>
    <hyperlink r:id="rId10" ref="X5"/>
    <hyperlink r:id="rId11" ref="AB5"/>
    <hyperlink r:id="rId12" ref="AC5"/>
    <hyperlink r:id="rId13" ref="X6"/>
    <hyperlink r:id="rId14" ref="AB6"/>
    <hyperlink r:id="rId15" ref="AC6"/>
    <hyperlink r:id="rId16" ref="X7"/>
    <hyperlink r:id="rId17" ref="AB7"/>
    <hyperlink r:id="rId18" ref="AC7"/>
  </hyperlinks>
  <drawing r:id="rId1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53">
        <v>10.0</v>
      </c>
      <c r="B2" s="53" t="s">
        <v>129</v>
      </c>
      <c r="C2" s="12" t="s">
        <v>118</v>
      </c>
      <c r="D2" s="53">
        <v>120.0</v>
      </c>
      <c r="E2" s="162">
        <v>3.0</v>
      </c>
      <c r="F2" s="9" t="str">
        <f t="shared" ref="F2:F7" si="1">IF(J2="دور","FL",
IF(J2="شقة","AP",
IF(J2="فيلا","VI",
IF(J2="تاون هاوس","TH",""))))
</f>
        <v>AP</v>
      </c>
      <c r="G2" s="7" t="str">
        <f t="shared" ref="G2:G7" si="2">B2&amp;"-"&amp;I2&amp;"-"&amp;E2&amp;"-"&amp;F2</f>
        <v>ALN120-1-3-AP</v>
      </c>
      <c r="H2" s="12" t="s">
        <v>445</v>
      </c>
      <c r="I2" s="53">
        <v>1.0</v>
      </c>
      <c r="J2" s="8" t="s">
        <v>301</v>
      </c>
      <c r="K2" s="192">
        <v>136.0</v>
      </c>
      <c r="L2" s="136">
        <v>2149000.0</v>
      </c>
      <c r="M2" s="12" t="s">
        <v>322</v>
      </c>
      <c r="N2" s="11">
        <v>3.0</v>
      </c>
      <c r="O2" s="7">
        <v>3.0</v>
      </c>
      <c r="P2" s="12" t="s">
        <v>340</v>
      </c>
      <c r="Q2" s="53">
        <v>53.0</v>
      </c>
      <c r="R2" s="12" t="s">
        <v>314</v>
      </c>
      <c r="S2" s="8" t="s">
        <v>298</v>
      </c>
      <c r="T2" s="13"/>
      <c r="U2" s="14"/>
      <c r="V2" s="163" t="s">
        <v>341</v>
      </c>
      <c r="W2" s="16"/>
      <c r="X2" s="146" t="s">
        <v>131</v>
      </c>
      <c r="Y2" s="18" t="s">
        <v>86</v>
      </c>
      <c r="Z2" s="8" t="s">
        <v>87</v>
      </c>
      <c r="AA2" s="12" t="s">
        <v>132</v>
      </c>
      <c r="AB2" s="17" t="s">
        <v>446</v>
      </c>
      <c r="AC2" s="17" t="s">
        <v>343</v>
      </c>
    </row>
    <row r="3">
      <c r="A3" s="53">
        <v>10.0</v>
      </c>
      <c r="B3" s="53" t="s">
        <v>129</v>
      </c>
      <c r="C3" s="12" t="s">
        <v>118</v>
      </c>
      <c r="D3" s="53">
        <v>120.0</v>
      </c>
      <c r="E3" s="164">
        <v>6.0</v>
      </c>
      <c r="F3" s="9" t="str">
        <f t="shared" si="1"/>
        <v>AP</v>
      </c>
      <c r="G3" s="7" t="str">
        <f t="shared" si="2"/>
        <v>ALN120-2-6-AP</v>
      </c>
      <c r="H3" s="12" t="s">
        <v>445</v>
      </c>
      <c r="I3" s="150">
        <v>2.0</v>
      </c>
      <c r="J3" s="8" t="s">
        <v>301</v>
      </c>
      <c r="K3" s="193">
        <v>136.0</v>
      </c>
      <c r="L3" s="151">
        <v>1989000.0</v>
      </c>
      <c r="M3" s="152" t="s">
        <v>322</v>
      </c>
      <c r="N3" s="153">
        <v>3.0</v>
      </c>
      <c r="O3" s="154">
        <v>3.0</v>
      </c>
      <c r="P3" s="152" t="s">
        <v>344</v>
      </c>
      <c r="Q3" s="150"/>
      <c r="R3" s="152" t="s">
        <v>314</v>
      </c>
      <c r="S3" s="152" t="s">
        <v>308</v>
      </c>
      <c r="T3" s="155"/>
      <c r="U3" s="155"/>
      <c r="V3" s="165" t="s">
        <v>341</v>
      </c>
      <c r="W3" s="157" t="s">
        <v>345</v>
      </c>
      <c r="X3" s="146" t="s">
        <v>131</v>
      </c>
      <c r="Y3" s="158" t="s">
        <v>86</v>
      </c>
      <c r="Z3" s="159" t="s">
        <v>87</v>
      </c>
      <c r="AA3" s="12" t="s">
        <v>132</v>
      </c>
      <c r="AB3" s="160" t="s">
        <v>446</v>
      </c>
      <c r="AC3" s="160" t="s">
        <v>346</v>
      </c>
    </row>
    <row r="4">
      <c r="A4" s="53">
        <v>10.0</v>
      </c>
      <c r="B4" s="53" t="s">
        <v>129</v>
      </c>
      <c r="C4" s="12" t="s">
        <v>118</v>
      </c>
      <c r="D4" s="53">
        <v>120.0</v>
      </c>
      <c r="E4" s="164">
        <v>7.0</v>
      </c>
      <c r="F4" s="9" t="str">
        <f t="shared" si="1"/>
        <v>AP</v>
      </c>
      <c r="G4" s="7" t="str">
        <f t="shared" si="2"/>
        <v>ALN120-2-7-AP</v>
      </c>
      <c r="H4" s="12" t="s">
        <v>445</v>
      </c>
      <c r="I4" s="150">
        <v>2.0</v>
      </c>
      <c r="J4" s="8" t="s">
        <v>301</v>
      </c>
      <c r="K4" s="193">
        <v>136.0</v>
      </c>
      <c r="L4" s="151">
        <v>1939000.0</v>
      </c>
      <c r="M4" s="152" t="s">
        <v>322</v>
      </c>
      <c r="N4" s="166">
        <v>3.0</v>
      </c>
      <c r="O4" s="161">
        <v>3.0</v>
      </c>
      <c r="P4" s="152" t="s">
        <v>347</v>
      </c>
      <c r="Q4" s="150"/>
      <c r="R4" s="12" t="s">
        <v>314</v>
      </c>
      <c r="S4" s="152" t="s">
        <v>308</v>
      </c>
      <c r="T4" s="155"/>
      <c r="U4" s="155"/>
      <c r="V4" s="165" t="s">
        <v>341</v>
      </c>
      <c r="W4" s="157"/>
      <c r="X4" s="146" t="s">
        <v>131</v>
      </c>
      <c r="Y4" s="158" t="s">
        <v>86</v>
      </c>
      <c r="Z4" s="159" t="s">
        <v>87</v>
      </c>
      <c r="AA4" s="12" t="s">
        <v>132</v>
      </c>
      <c r="AB4" s="160" t="s">
        <v>446</v>
      </c>
      <c r="AC4" s="160" t="s">
        <v>348</v>
      </c>
    </row>
    <row r="5">
      <c r="A5" s="53">
        <v>10.0</v>
      </c>
      <c r="B5" s="53" t="s">
        <v>129</v>
      </c>
      <c r="C5" s="12" t="s">
        <v>118</v>
      </c>
      <c r="D5" s="53">
        <v>120.0</v>
      </c>
      <c r="E5" s="164">
        <v>8.0</v>
      </c>
      <c r="F5" s="9" t="str">
        <f t="shared" si="1"/>
        <v>AP</v>
      </c>
      <c r="G5" s="7" t="str">
        <f t="shared" si="2"/>
        <v>ALN120-2-8-AP</v>
      </c>
      <c r="H5" s="12" t="s">
        <v>445</v>
      </c>
      <c r="I5" s="150">
        <v>2.0</v>
      </c>
      <c r="J5" s="8" t="s">
        <v>301</v>
      </c>
      <c r="K5" s="193">
        <v>136.0</v>
      </c>
      <c r="L5" s="151">
        <v>1939000.0</v>
      </c>
      <c r="M5" s="152" t="s">
        <v>322</v>
      </c>
      <c r="N5" s="166">
        <v>3.0</v>
      </c>
      <c r="O5" s="161">
        <v>3.0</v>
      </c>
      <c r="P5" s="152" t="s">
        <v>347</v>
      </c>
      <c r="Q5" s="150"/>
      <c r="R5" s="12" t="s">
        <v>314</v>
      </c>
      <c r="S5" s="152" t="s">
        <v>308</v>
      </c>
      <c r="T5" s="155"/>
      <c r="U5" s="155"/>
      <c r="V5" s="165" t="s">
        <v>341</v>
      </c>
      <c r="W5" s="157"/>
      <c r="X5" s="146" t="s">
        <v>131</v>
      </c>
      <c r="Y5" s="158" t="s">
        <v>86</v>
      </c>
      <c r="Z5" s="159" t="s">
        <v>87</v>
      </c>
      <c r="AA5" s="12" t="s">
        <v>132</v>
      </c>
      <c r="AB5" s="160" t="s">
        <v>446</v>
      </c>
      <c r="AC5" s="160" t="s">
        <v>349</v>
      </c>
    </row>
    <row r="6">
      <c r="A6" s="53">
        <v>10.0</v>
      </c>
      <c r="B6" s="53" t="s">
        <v>129</v>
      </c>
      <c r="C6" s="12" t="s">
        <v>118</v>
      </c>
      <c r="D6" s="53">
        <v>120.0</v>
      </c>
      <c r="E6" s="164">
        <v>9.0</v>
      </c>
      <c r="F6" s="9" t="str">
        <f t="shared" si="1"/>
        <v>AP</v>
      </c>
      <c r="G6" s="7" t="str">
        <f t="shared" si="2"/>
        <v>ALN120-3-9-AP</v>
      </c>
      <c r="H6" s="12" t="s">
        <v>445</v>
      </c>
      <c r="I6" s="150">
        <v>3.0</v>
      </c>
      <c r="J6" s="8" t="s">
        <v>301</v>
      </c>
      <c r="K6" s="193">
        <v>136.0</v>
      </c>
      <c r="L6" s="151">
        <v>1989000.0</v>
      </c>
      <c r="M6" s="152" t="s">
        <v>322</v>
      </c>
      <c r="N6" s="166">
        <v>3.0</v>
      </c>
      <c r="O6" s="154">
        <v>3.0</v>
      </c>
      <c r="P6" s="152" t="s">
        <v>350</v>
      </c>
      <c r="Q6" s="150"/>
      <c r="R6" s="12" t="s">
        <v>314</v>
      </c>
      <c r="S6" s="152" t="s">
        <v>318</v>
      </c>
      <c r="T6" s="155"/>
      <c r="U6" s="155"/>
      <c r="V6" s="165" t="s">
        <v>341</v>
      </c>
      <c r="W6" s="157" t="s">
        <v>345</v>
      </c>
      <c r="X6" s="146" t="s">
        <v>131</v>
      </c>
      <c r="Y6" s="158" t="s">
        <v>86</v>
      </c>
      <c r="Z6" s="159" t="s">
        <v>87</v>
      </c>
      <c r="AA6" s="12" t="s">
        <v>132</v>
      </c>
      <c r="AB6" s="160" t="s">
        <v>446</v>
      </c>
      <c r="AC6" s="160" t="s">
        <v>351</v>
      </c>
    </row>
    <row r="7">
      <c r="A7" s="53">
        <v>10.0</v>
      </c>
      <c r="B7" s="53" t="s">
        <v>129</v>
      </c>
      <c r="C7" s="12" t="s">
        <v>118</v>
      </c>
      <c r="D7" s="53">
        <v>120.0</v>
      </c>
      <c r="E7" s="164">
        <v>12.0</v>
      </c>
      <c r="F7" s="9" t="str">
        <f t="shared" si="1"/>
        <v>AP</v>
      </c>
      <c r="G7" s="7" t="str">
        <f t="shared" si="2"/>
        <v>ALN120-3-12-AP</v>
      </c>
      <c r="H7" s="12" t="s">
        <v>445</v>
      </c>
      <c r="I7" s="150">
        <v>3.0</v>
      </c>
      <c r="J7" s="8" t="s">
        <v>301</v>
      </c>
      <c r="K7" s="193">
        <v>136.0</v>
      </c>
      <c r="L7" s="194">
        <v>1799000.0</v>
      </c>
      <c r="M7" s="152" t="s">
        <v>322</v>
      </c>
      <c r="N7" s="166">
        <v>3.0</v>
      </c>
      <c r="O7" s="154">
        <v>3.0</v>
      </c>
      <c r="P7" s="152" t="s">
        <v>350</v>
      </c>
      <c r="Q7" s="150"/>
      <c r="R7" s="12" t="s">
        <v>314</v>
      </c>
      <c r="S7" s="152" t="s">
        <v>318</v>
      </c>
      <c r="T7" s="155"/>
      <c r="U7" s="155"/>
      <c r="V7" s="165" t="s">
        <v>341</v>
      </c>
      <c r="W7" s="157"/>
      <c r="X7" s="146" t="s">
        <v>131</v>
      </c>
      <c r="Y7" s="158" t="s">
        <v>86</v>
      </c>
      <c r="Z7" s="159" t="s">
        <v>87</v>
      </c>
      <c r="AA7" s="12" t="s">
        <v>132</v>
      </c>
      <c r="AB7" s="160" t="s">
        <v>446</v>
      </c>
      <c r="AC7" s="160" t="s">
        <v>352</v>
      </c>
    </row>
  </sheetData>
  <dataValidations>
    <dataValidation type="list" allowBlank="1" showErrorMessage="1" sqref="M2:M7">
      <formula1>"تحت الإنشاء,متاحة,مباعة,محجوزة"</formula1>
    </dataValidation>
    <dataValidation type="list" allowBlank="1" showErrorMessage="1" sqref="P2:P7">
      <formula1>"صالة جلوس,مجلس,غرفة سائق,صالة طعام,غرفة خادمة,بلكونة,فناء خارجي,غرفة خدمات,غرفة غسيل"</formula1>
    </dataValidation>
    <dataValidation type="list" allowBlank="1" showErrorMessage="1" sqref="R2:R7">
      <formula1>"مؤسس,لا يوجد,جاهز"</formula1>
    </dataValidation>
    <dataValidation type="list" allowBlank="1" showErrorMessage="1" sqref="S2:S7">
      <formula1>"ارضي,اول,ثاني,ثالث"</formula1>
    </dataValidation>
    <dataValidation type="list" allowBlank="1" showErrorMessage="1" sqref="W2:W7">
      <formula1>"زاوية,واجهة"</formula1>
    </dataValidation>
  </dataValidations>
  <hyperlinks>
    <hyperlink r:id="rId1" ref="X2"/>
    <hyperlink r:id="rId2" ref="AB2"/>
    <hyperlink r:id="rId3" ref="AC2"/>
    <hyperlink r:id="rId4" ref="X3"/>
    <hyperlink r:id="rId5" ref="AB3"/>
    <hyperlink r:id="rId6" ref="AC3"/>
    <hyperlink r:id="rId7" ref="X4"/>
    <hyperlink r:id="rId8" ref="AB4"/>
    <hyperlink r:id="rId9" ref="AC4"/>
    <hyperlink r:id="rId10" ref="X5"/>
    <hyperlink r:id="rId11" ref="AB5"/>
    <hyperlink r:id="rId12" ref="AC5"/>
    <hyperlink r:id="rId13" ref="X6"/>
    <hyperlink r:id="rId14" ref="AB6"/>
    <hyperlink r:id="rId15" ref="AC6"/>
    <hyperlink r:id="rId16" ref="X7"/>
    <hyperlink r:id="rId17" ref="AB7"/>
    <hyperlink r:id="rId18" ref="AC7"/>
  </hyperlinks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167">
        <v>11.0</v>
      </c>
      <c r="B2" s="56" t="s">
        <v>135</v>
      </c>
      <c r="C2" s="167" t="s">
        <v>136</v>
      </c>
      <c r="D2" s="167">
        <v>21.0</v>
      </c>
      <c r="E2" s="62">
        <v>1.0</v>
      </c>
      <c r="F2" s="9" t="str">
        <f t="shared" ref="F2:F7" si="1">IF(J2="دور","FL",
IF(J2="شقة","AP",
IF(J2="فيلا","VI",
IF(J2="تاون هاوس","TH",""))))
</f>
        <v>FL</v>
      </c>
      <c r="G2" s="7" t="str">
        <f t="shared" ref="G2:G7" si="2">B2&amp;"-"&amp;I2&amp;"-"&amp;E2&amp;"-"&amp;F2</f>
        <v>AIN21-B-1-FL</v>
      </c>
      <c r="H2" s="167" t="s">
        <v>137</v>
      </c>
      <c r="I2" s="62" t="s">
        <v>303</v>
      </c>
      <c r="J2" s="78" t="s">
        <v>295</v>
      </c>
      <c r="K2" s="130"/>
      <c r="L2" s="168"/>
      <c r="M2" s="62" t="s">
        <v>306</v>
      </c>
      <c r="N2" s="169">
        <v>3.0</v>
      </c>
      <c r="O2" s="130"/>
      <c r="P2" s="130"/>
      <c r="Q2" s="130"/>
      <c r="R2" s="130"/>
      <c r="S2" s="62" t="s">
        <v>298</v>
      </c>
      <c r="T2" s="60" t="s">
        <v>354</v>
      </c>
      <c r="U2" s="80"/>
      <c r="V2" s="170"/>
      <c r="W2" s="130"/>
      <c r="X2" s="171" t="s">
        <v>138</v>
      </c>
      <c r="Y2" s="60" t="s">
        <v>86</v>
      </c>
      <c r="Z2" s="9" t="s">
        <v>87</v>
      </c>
      <c r="AA2" s="167" t="s">
        <v>139</v>
      </c>
      <c r="AB2" s="130"/>
      <c r="AC2" s="130"/>
    </row>
    <row r="3">
      <c r="A3" s="167">
        <v>11.0</v>
      </c>
      <c r="B3" s="56" t="s">
        <v>135</v>
      </c>
      <c r="C3" s="167" t="s">
        <v>136</v>
      </c>
      <c r="D3" s="167">
        <v>21.0</v>
      </c>
      <c r="E3" s="62">
        <v>2.0</v>
      </c>
      <c r="F3" s="9" t="str">
        <f t="shared" si="1"/>
        <v>FL</v>
      </c>
      <c r="G3" s="7" t="str">
        <f t="shared" si="2"/>
        <v>AIN21-B-2-FL</v>
      </c>
      <c r="H3" s="167" t="s">
        <v>137</v>
      </c>
      <c r="I3" s="62" t="s">
        <v>303</v>
      </c>
      <c r="J3" s="78" t="s">
        <v>295</v>
      </c>
      <c r="K3" s="9" t="s">
        <v>447</v>
      </c>
      <c r="L3" s="173" t="s">
        <v>448</v>
      </c>
      <c r="M3" s="62" t="s">
        <v>296</v>
      </c>
      <c r="N3" s="169">
        <v>3.0</v>
      </c>
      <c r="O3" s="130"/>
      <c r="P3" s="130"/>
      <c r="Q3" s="130"/>
      <c r="R3" s="130"/>
      <c r="S3" s="62" t="s">
        <v>308</v>
      </c>
      <c r="T3" s="60" t="s">
        <v>354</v>
      </c>
      <c r="U3" s="80"/>
      <c r="V3" s="170"/>
      <c r="W3" s="130"/>
      <c r="X3" s="171" t="s">
        <v>138</v>
      </c>
      <c r="Y3" s="60" t="s">
        <v>86</v>
      </c>
      <c r="Z3" s="9" t="s">
        <v>87</v>
      </c>
      <c r="AA3" s="167" t="s">
        <v>139</v>
      </c>
      <c r="AB3" s="130"/>
      <c r="AC3" s="130"/>
    </row>
    <row r="4">
      <c r="A4" s="167">
        <v>11.0</v>
      </c>
      <c r="B4" s="56" t="s">
        <v>135</v>
      </c>
      <c r="C4" s="167" t="s">
        <v>136</v>
      </c>
      <c r="D4" s="167">
        <v>21.0</v>
      </c>
      <c r="E4" s="62">
        <v>3.0</v>
      </c>
      <c r="F4" s="9" t="str">
        <f t="shared" si="1"/>
        <v>FL</v>
      </c>
      <c r="G4" s="7" t="str">
        <f t="shared" si="2"/>
        <v>AIN21-B-3-FL</v>
      </c>
      <c r="H4" s="167" t="s">
        <v>137</v>
      </c>
      <c r="I4" s="62" t="s">
        <v>303</v>
      </c>
      <c r="J4" s="78" t="s">
        <v>295</v>
      </c>
      <c r="K4" s="9" t="s">
        <v>449</v>
      </c>
      <c r="L4" s="173" t="s">
        <v>450</v>
      </c>
      <c r="M4" s="62" t="s">
        <v>296</v>
      </c>
      <c r="N4" s="169">
        <v>3.0</v>
      </c>
      <c r="O4" s="130"/>
      <c r="P4" s="130"/>
      <c r="Q4" s="130"/>
      <c r="R4" s="130"/>
      <c r="S4" s="62" t="s">
        <v>318</v>
      </c>
      <c r="T4" s="60" t="s">
        <v>354</v>
      </c>
      <c r="U4" s="80"/>
      <c r="V4" s="170"/>
      <c r="W4" s="130"/>
      <c r="X4" s="171" t="s">
        <v>138</v>
      </c>
      <c r="Y4" s="60" t="s">
        <v>86</v>
      </c>
      <c r="Z4" s="9" t="s">
        <v>87</v>
      </c>
      <c r="AA4" s="167" t="s">
        <v>139</v>
      </c>
      <c r="AB4" s="130"/>
      <c r="AC4" s="130"/>
    </row>
    <row r="5">
      <c r="A5" s="167">
        <v>11.0</v>
      </c>
      <c r="B5" s="56" t="s">
        <v>135</v>
      </c>
      <c r="C5" s="167" t="s">
        <v>136</v>
      </c>
      <c r="D5" s="167">
        <v>21.0</v>
      </c>
      <c r="E5" s="62">
        <v>1.0</v>
      </c>
      <c r="F5" s="9" t="str">
        <f t="shared" si="1"/>
        <v>FL</v>
      </c>
      <c r="G5" s="7" t="str">
        <f t="shared" si="2"/>
        <v>AIN21-A-1-FL</v>
      </c>
      <c r="H5" s="167" t="s">
        <v>137</v>
      </c>
      <c r="I5" s="62" t="s">
        <v>294</v>
      </c>
      <c r="J5" s="78" t="s">
        <v>295</v>
      </c>
      <c r="K5" s="9" t="s">
        <v>451</v>
      </c>
      <c r="L5" s="173" t="s">
        <v>452</v>
      </c>
      <c r="M5" s="62" t="s">
        <v>296</v>
      </c>
      <c r="N5" s="169">
        <v>3.0</v>
      </c>
      <c r="O5" s="130"/>
      <c r="P5" s="130"/>
      <c r="Q5" s="130"/>
      <c r="R5" s="130"/>
      <c r="S5" s="62" t="s">
        <v>298</v>
      </c>
      <c r="T5" s="60" t="s">
        <v>355</v>
      </c>
      <c r="U5" s="80"/>
      <c r="V5" s="170"/>
      <c r="W5" s="130"/>
      <c r="X5" s="171" t="s">
        <v>138</v>
      </c>
      <c r="Y5" s="60" t="s">
        <v>86</v>
      </c>
      <c r="Z5" s="9" t="s">
        <v>87</v>
      </c>
      <c r="AA5" s="167" t="s">
        <v>139</v>
      </c>
      <c r="AB5" s="130"/>
      <c r="AC5" s="130"/>
    </row>
    <row r="6">
      <c r="A6" s="167">
        <v>11.0</v>
      </c>
      <c r="B6" s="56" t="s">
        <v>135</v>
      </c>
      <c r="C6" s="167" t="s">
        <v>136</v>
      </c>
      <c r="D6" s="167">
        <v>21.0</v>
      </c>
      <c r="E6" s="62">
        <v>2.0</v>
      </c>
      <c r="F6" s="9" t="str">
        <f t="shared" si="1"/>
        <v>FL</v>
      </c>
      <c r="G6" s="7" t="str">
        <f t="shared" si="2"/>
        <v>AIN21-A-2-FL</v>
      </c>
      <c r="H6" s="167" t="s">
        <v>137</v>
      </c>
      <c r="I6" s="62" t="s">
        <v>294</v>
      </c>
      <c r="J6" s="78" t="s">
        <v>295</v>
      </c>
      <c r="K6" s="9" t="s">
        <v>453</v>
      </c>
      <c r="L6" s="173" t="s">
        <v>454</v>
      </c>
      <c r="M6" s="62" t="s">
        <v>296</v>
      </c>
      <c r="N6" s="169">
        <v>3.0</v>
      </c>
      <c r="O6" s="130"/>
      <c r="P6" s="130"/>
      <c r="Q6" s="130"/>
      <c r="R6" s="130"/>
      <c r="S6" s="62" t="s">
        <v>308</v>
      </c>
      <c r="T6" s="60" t="s">
        <v>355</v>
      </c>
      <c r="U6" s="80"/>
      <c r="V6" s="170"/>
      <c r="W6" s="130"/>
      <c r="X6" s="171" t="s">
        <v>138</v>
      </c>
      <c r="Y6" s="60" t="s">
        <v>86</v>
      </c>
      <c r="Z6" s="9" t="s">
        <v>87</v>
      </c>
      <c r="AA6" s="167" t="s">
        <v>139</v>
      </c>
      <c r="AB6" s="130"/>
      <c r="AC6" s="130"/>
    </row>
    <row r="7">
      <c r="A7" s="167">
        <v>11.0</v>
      </c>
      <c r="B7" s="56" t="s">
        <v>135</v>
      </c>
      <c r="C7" s="167" t="s">
        <v>136</v>
      </c>
      <c r="D7" s="167">
        <v>21.0</v>
      </c>
      <c r="E7" s="62">
        <v>3.0</v>
      </c>
      <c r="F7" s="9" t="str">
        <f t="shared" si="1"/>
        <v>FL</v>
      </c>
      <c r="G7" s="7" t="str">
        <f t="shared" si="2"/>
        <v>AIN21-A-3-FL</v>
      </c>
      <c r="H7" s="167" t="s">
        <v>137</v>
      </c>
      <c r="I7" s="62" t="s">
        <v>294</v>
      </c>
      <c r="J7" s="78" t="s">
        <v>295</v>
      </c>
      <c r="K7" s="9" t="s">
        <v>455</v>
      </c>
      <c r="L7" s="173" t="s">
        <v>456</v>
      </c>
      <c r="M7" s="62" t="s">
        <v>296</v>
      </c>
      <c r="N7" s="169">
        <v>3.0</v>
      </c>
      <c r="O7" s="130"/>
      <c r="P7" s="130"/>
      <c r="Q7" s="130"/>
      <c r="R7" s="130"/>
      <c r="S7" s="62" t="s">
        <v>318</v>
      </c>
      <c r="T7" s="60" t="s">
        <v>355</v>
      </c>
      <c r="U7" s="80"/>
      <c r="V7" s="170"/>
      <c r="W7" s="130"/>
      <c r="X7" s="171" t="s">
        <v>138</v>
      </c>
      <c r="Y7" s="60" t="s">
        <v>86</v>
      </c>
      <c r="Z7" s="9" t="s">
        <v>87</v>
      </c>
      <c r="AA7" s="167" t="s">
        <v>139</v>
      </c>
      <c r="AB7" s="130"/>
      <c r="AC7" s="130"/>
    </row>
  </sheetData>
  <dataValidations>
    <dataValidation type="list" allowBlank="1" showErrorMessage="1" sqref="M2:M7">
      <formula1>"تحت الإنشاء,متاحة,مباعة,محجوزة"</formula1>
    </dataValidation>
    <dataValidation type="list" allowBlank="1" showErrorMessage="1" sqref="P2:P7">
      <formula1>"صالة جلوس,مجلس,غرفة سائق,صالة طعام,غرفة خادمة,بلكونة,فناء خارجي,غرفة خدمات,غرفة غسيل"</formula1>
    </dataValidation>
    <dataValidation type="list" allowBlank="1" showErrorMessage="1" sqref="R2:R7">
      <formula1>"مؤسس,لا يوجد,جاهز"</formula1>
    </dataValidation>
    <dataValidation type="list" allowBlank="1" showErrorMessage="1" sqref="S2:S7">
      <formula1>"ارضي,اول,ثاني,ثالث"</formula1>
    </dataValidation>
    <dataValidation type="list" allowBlank="1" showErrorMessage="1" sqref="W2:W7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</hyperlinks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167">
        <v>12.0</v>
      </c>
      <c r="B2" s="56" t="s">
        <v>457</v>
      </c>
      <c r="C2" s="167" t="s">
        <v>141</v>
      </c>
      <c r="D2" s="130"/>
      <c r="E2" s="62">
        <v>1.0</v>
      </c>
      <c r="F2" s="9" t="str">
        <f t="shared" ref="F2:F12" si="1">IF(J2="دور","FL",
IF(J2="شقة","AP",
IF(J2="فيلا","VI",
IF(J2="تاون هاوس","TH",""))))
</f>
        <v>VI</v>
      </c>
      <c r="G2" s="7" t="str">
        <f t="shared" ref="G2:G12" si="2">B2&amp;"-"&amp;I2&amp;"-"&amp;E2&amp;"-"&amp;F2</f>
        <v>SRF-A-1-VI</v>
      </c>
      <c r="H2" s="167" t="s">
        <v>142</v>
      </c>
      <c r="I2" s="62" t="s">
        <v>294</v>
      </c>
      <c r="J2" s="78" t="s">
        <v>313</v>
      </c>
      <c r="K2" s="9">
        <v>200.0</v>
      </c>
      <c r="L2" s="173" t="s">
        <v>458</v>
      </c>
      <c r="M2" s="62" t="s">
        <v>296</v>
      </c>
      <c r="N2" s="169">
        <v>5.0</v>
      </c>
      <c r="O2" s="62">
        <v>6.0</v>
      </c>
      <c r="P2" s="62" t="s">
        <v>145</v>
      </c>
      <c r="Q2" s="130"/>
      <c r="R2" s="167" t="s">
        <v>297</v>
      </c>
      <c r="S2" s="130"/>
      <c r="T2" s="80"/>
      <c r="U2" s="80"/>
      <c r="V2" s="170"/>
      <c r="W2" s="130"/>
      <c r="X2" s="171" t="s">
        <v>143</v>
      </c>
      <c r="Y2" s="60" t="s">
        <v>86</v>
      </c>
      <c r="Z2" s="9" t="s">
        <v>87</v>
      </c>
      <c r="AA2" s="167" t="s">
        <v>144</v>
      </c>
      <c r="AB2" s="130"/>
      <c r="AC2" s="130"/>
    </row>
    <row r="3">
      <c r="A3" s="167">
        <v>12.0</v>
      </c>
      <c r="B3" s="56" t="s">
        <v>457</v>
      </c>
      <c r="C3" s="167" t="s">
        <v>141</v>
      </c>
      <c r="D3" s="130"/>
      <c r="E3" s="62">
        <v>2.0</v>
      </c>
      <c r="F3" s="9" t="str">
        <f t="shared" si="1"/>
        <v>VI</v>
      </c>
      <c r="G3" s="7" t="str">
        <f t="shared" si="2"/>
        <v>SRF-A-2-VI</v>
      </c>
      <c r="H3" s="167" t="s">
        <v>142</v>
      </c>
      <c r="I3" s="62" t="s">
        <v>294</v>
      </c>
      <c r="J3" s="78" t="s">
        <v>313</v>
      </c>
      <c r="K3" s="9">
        <v>200.0</v>
      </c>
      <c r="L3" s="173" t="s">
        <v>458</v>
      </c>
      <c r="M3" s="62" t="s">
        <v>296</v>
      </c>
      <c r="N3" s="169">
        <v>5.0</v>
      </c>
      <c r="O3" s="62">
        <v>6.0</v>
      </c>
      <c r="P3" s="62" t="s">
        <v>145</v>
      </c>
      <c r="Q3" s="130"/>
      <c r="R3" s="167" t="s">
        <v>297</v>
      </c>
      <c r="S3" s="130"/>
      <c r="T3" s="80"/>
      <c r="U3" s="80"/>
      <c r="V3" s="170"/>
      <c r="W3" s="130"/>
      <c r="X3" s="171" t="s">
        <v>143</v>
      </c>
      <c r="Y3" s="60" t="s">
        <v>86</v>
      </c>
      <c r="Z3" s="9" t="s">
        <v>87</v>
      </c>
      <c r="AA3" s="167" t="s">
        <v>144</v>
      </c>
      <c r="AB3" s="130"/>
      <c r="AC3" s="130"/>
    </row>
    <row r="4">
      <c r="A4" s="167">
        <v>12.0</v>
      </c>
      <c r="B4" s="56" t="s">
        <v>457</v>
      </c>
      <c r="C4" s="167" t="s">
        <v>141</v>
      </c>
      <c r="D4" s="130"/>
      <c r="E4" s="62">
        <v>3.0</v>
      </c>
      <c r="F4" s="9" t="str">
        <f t="shared" si="1"/>
        <v>VI</v>
      </c>
      <c r="G4" s="7" t="str">
        <f t="shared" si="2"/>
        <v>SRF-A-3-VI</v>
      </c>
      <c r="H4" s="167" t="s">
        <v>142</v>
      </c>
      <c r="I4" s="62" t="s">
        <v>294</v>
      </c>
      <c r="J4" s="78" t="s">
        <v>313</v>
      </c>
      <c r="K4" s="9">
        <v>200.0</v>
      </c>
      <c r="L4" s="173" t="s">
        <v>458</v>
      </c>
      <c r="M4" s="62" t="s">
        <v>296</v>
      </c>
      <c r="N4" s="169">
        <v>5.0</v>
      </c>
      <c r="O4" s="62">
        <v>6.0</v>
      </c>
      <c r="P4" s="62" t="s">
        <v>145</v>
      </c>
      <c r="Q4" s="130"/>
      <c r="R4" s="167" t="s">
        <v>297</v>
      </c>
      <c r="S4" s="130"/>
      <c r="T4" s="80"/>
      <c r="U4" s="80"/>
      <c r="V4" s="170"/>
      <c r="W4" s="130"/>
      <c r="X4" s="171" t="s">
        <v>143</v>
      </c>
      <c r="Y4" s="60" t="s">
        <v>86</v>
      </c>
      <c r="Z4" s="9" t="s">
        <v>87</v>
      </c>
      <c r="AA4" s="167" t="s">
        <v>144</v>
      </c>
      <c r="AB4" s="130"/>
      <c r="AC4" s="130"/>
    </row>
    <row r="5">
      <c r="A5" s="167">
        <v>12.0</v>
      </c>
      <c r="B5" s="56" t="s">
        <v>457</v>
      </c>
      <c r="C5" s="167" t="s">
        <v>141</v>
      </c>
      <c r="D5" s="130"/>
      <c r="E5" s="62">
        <v>4.0</v>
      </c>
      <c r="F5" s="9" t="str">
        <f t="shared" si="1"/>
        <v>VI</v>
      </c>
      <c r="G5" s="7" t="str">
        <f t="shared" si="2"/>
        <v>SRF-A-4-VI</v>
      </c>
      <c r="H5" s="167" t="s">
        <v>142</v>
      </c>
      <c r="I5" s="62" t="s">
        <v>294</v>
      </c>
      <c r="J5" s="78" t="s">
        <v>313</v>
      </c>
      <c r="K5" s="9">
        <v>200.0</v>
      </c>
      <c r="L5" s="173" t="s">
        <v>458</v>
      </c>
      <c r="M5" s="62" t="s">
        <v>296</v>
      </c>
      <c r="N5" s="169">
        <v>5.0</v>
      </c>
      <c r="O5" s="62">
        <v>6.0</v>
      </c>
      <c r="P5" s="62" t="s">
        <v>145</v>
      </c>
      <c r="Q5" s="130"/>
      <c r="R5" s="167" t="s">
        <v>297</v>
      </c>
      <c r="S5" s="130"/>
      <c r="T5" s="80"/>
      <c r="U5" s="80"/>
      <c r="V5" s="170"/>
      <c r="W5" s="130"/>
      <c r="X5" s="171" t="s">
        <v>143</v>
      </c>
      <c r="Y5" s="60" t="s">
        <v>86</v>
      </c>
      <c r="Z5" s="9" t="s">
        <v>87</v>
      </c>
      <c r="AA5" s="167" t="s">
        <v>144</v>
      </c>
      <c r="AB5" s="130"/>
      <c r="AC5" s="130"/>
    </row>
    <row r="6">
      <c r="A6" s="167">
        <v>12.0</v>
      </c>
      <c r="B6" s="56" t="s">
        <v>457</v>
      </c>
      <c r="C6" s="167" t="s">
        <v>141</v>
      </c>
      <c r="D6" s="130"/>
      <c r="E6" s="62">
        <v>5.0</v>
      </c>
      <c r="F6" s="9" t="str">
        <f t="shared" si="1"/>
        <v>VI</v>
      </c>
      <c r="G6" s="7" t="str">
        <f t="shared" si="2"/>
        <v>SRF-A-5-VI</v>
      </c>
      <c r="H6" s="167" t="s">
        <v>142</v>
      </c>
      <c r="I6" s="62" t="s">
        <v>294</v>
      </c>
      <c r="J6" s="78" t="s">
        <v>313</v>
      </c>
      <c r="K6" s="9">
        <v>200.0</v>
      </c>
      <c r="L6" s="173" t="s">
        <v>458</v>
      </c>
      <c r="M6" s="62" t="s">
        <v>296</v>
      </c>
      <c r="N6" s="169">
        <v>5.0</v>
      </c>
      <c r="O6" s="62">
        <v>6.0</v>
      </c>
      <c r="P6" s="62" t="s">
        <v>145</v>
      </c>
      <c r="Q6" s="130"/>
      <c r="R6" s="167" t="s">
        <v>297</v>
      </c>
      <c r="S6" s="130"/>
      <c r="T6" s="80"/>
      <c r="U6" s="80"/>
      <c r="V6" s="170"/>
      <c r="W6" s="130"/>
      <c r="X6" s="171" t="s">
        <v>143</v>
      </c>
      <c r="Y6" s="60" t="s">
        <v>86</v>
      </c>
      <c r="Z6" s="9" t="s">
        <v>87</v>
      </c>
      <c r="AA6" s="167" t="s">
        <v>144</v>
      </c>
      <c r="AB6" s="130"/>
      <c r="AC6" s="130"/>
    </row>
    <row r="7">
      <c r="A7" s="167">
        <v>12.0</v>
      </c>
      <c r="B7" s="56" t="s">
        <v>457</v>
      </c>
      <c r="C7" s="167" t="s">
        <v>141</v>
      </c>
      <c r="D7" s="130"/>
      <c r="E7" s="62">
        <v>6.0</v>
      </c>
      <c r="F7" s="9" t="str">
        <f t="shared" si="1"/>
        <v>VI</v>
      </c>
      <c r="G7" s="7" t="str">
        <f t="shared" si="2"/>
        <v>SRF-A-6-VI</v>
      </c>
      <c r="H7" s="167" t="s">
        <v>142</v>
      </c>
      <c r="I7" s="62" t="s">
        <v>294</v>
      </c>
      <c r="J7" s="78" t="s">
        <v>313</v>
      </c>
      <c r="K7" s="9">
        <v>200.0</v>
      </c>
      <c r="L7" s="173" t="s">
        <v>458</v>
      </c>
      <c r="M7" s="62" t="s">
        <v>296</v>
      </c>
      <c r="N7" s="169">
        <v>5.0</v>
      </c>
      <c r="O7" s="62">
        <v>6.0</v>
      </c>
      <c r="P7" s="62" t="s">
        <v>145</v>
      </c>
      <c r="Q7" s="130"/>
      <c r="R7" s="167" t="s">
        <v>297</v>
      </c>
      <c r="S7" s="130"/>
      <c r="T7" s="80"/>
      <c r="U7" s="80"/>
      <c r="V7" s="170"/>
      <c r="W7" s="130"/>
      <c r="X7" s="171" t="s">
        <v>143</v>
      </c>
      <c r="Y7" s="60" t="s">
        <v>86</v>
      </c>
      <c r="Z7" s="9" t="s">
        <v>87</v>
      </c>
      <c r="AA7" s="167" t="s">
        <v>144</v>
      </c>
      <c r="AB7" s="130"/>
      <c r="AC7" s="130"/>
    </row>
    <row r="8">
      <c r="A8" s="167">
        <v>12.0</v>
      </c>
      <c r="B8" s="56" t="s">
        <v>457</v>
      </c>
      <c r="C8" s="167" t="s">
        <v>141</v>
      </c>
      <c r="D8" s="130"/>
      <c r="E8" s="62">
        <v>7.0</v>
      </c>
      <c r="F8" s="9" t="str">
        <f t="shared" si="1"/>
        <v>VI</v>
      </c>
      <c r="G8" s="7" t="str">
        <f t="shared" si="2"/>
        <v>SRF-A-7-VI</v>
      </c>
      <c r="H8" s="167" t="s">
        <v>142</v>
      </c>
      <c r="I8" s="62" t="s">
        <v>294</v>
      </c>
      <c r="J8" s="78" t="s">
        <v>313</v>
      </c>
      <c r="K8" s="9">
        <v>200.0</v>
      </c>
      <c r="L8" s="173" t="s">
        <v>458</v>
      </c>
      <c r="M8" s="62" t="s">
        <v>296</v>
      </c>
      <c r="N8" s="169">
        <v>5.0</v>
      </c>
      <c r="O8" s="62">
        <v>6.0</v>
      </c>
      <c r="P8" s="62" t="s">
        <v>145</v>
      </c>
      <c r="Q8" s="130"/>
      <c r="R8" s="167" t="s">
        <v>297</v>
      </c>
      <c r="S8" s="130"/>
      <c r="T8" s="80"/>
      <c r="U8" s="80"/>
      <c r="V8" s="170"/>
      <c r="W8" s="130"/>
      <c r="X8" s="171" t="s">
        <v>143</v>
      </c>
      <c r="Y8" s="60" t="s">
        <v>86</v>
      </c>
      <c r="Z8" s="9" t="s">
        <v>87</v>
      </c>
      <c r="AA8" s="167" t="s">
        <v>144</v>
      </c>
      <c r="AB8" s="130"/>
      <c r="AC8" s="130"/>
    </row>
    <row r="9">
      <c r="A9" s="167">
        <v>12.0</v>
      </c>
      <c r="B9" s="56" t="s">
        <v>457</v>
      </c>
      <c r="C9" s="167" t="s">
        <v>141</v>
      </c>
      <c r="D9" s="130"/>
      <c r="E9" s="62">
        <v>8.0</v>
      </c>
      <c r="F9" s="9" t="str">
        <f t="shared" si="1"/>
        <v>VI</v>
      </c>
      <c r="G9" s="7" t="str">
        <f t="shared" si="2"/>
        <v>SRF-A-8-VI</v>
      </c>
      <c r="H9" s="167" t="s">
        <v>142</v>
      </c>
      <c r="I9" s="62" t="s">
        <v>294</v>
      </c>
      <c r="J9" s="78" t="s">
        <v>313</v>
      </c>
      <c r="K9" s="9">
        <v>200.0</v>
      </c>
      <c r="L9" s="173" t="s">
        <v>458</v>
      </c>
      <c r="M9" s="62" t="s">
        <v>296</v>
      </c>
      <c r="N9" s="169">
        <v>5.0</v>
      </c>
      <c r="O9" s="62">
        <v>6.0</v>
      </c>
      <c r="P9" s="62" t="s">
        <v>145</v>
      </c>
      <c r="Q9" s="130"/>
      <c r="R9" s="167" t="s">
        <v>297</v>
      </c>
      <c r="S9" s="130"/>
      <c r="T9" s="80"/>
      <c r="U9" s="80"/>
      <c r="V9" s="170"/>
      <c r="W9" s="130"/>
      <c r="X9" s="171" t="s">
        <v>143</v>
      </c>
      <c r="Y9" s="60" t="s">
        <v>86</v>
      </c>
      <c r="Z9" s="9" t="s">
        <v>87</v>
      </c>
      <c r="AA9" s="167" t="s">
        <v>144</v>
      </c>
      <c r="AB9" s="130"/>
      <c r="AC9" s="130"/>
    </row>
    <row r="10">
      <c r="A10" s="167">
        <v>12.0</v>
      </c>
      <c r="B10" s="56" t="s">
        <v>457</v>
      </c>
      <c r="C10" s="167" t="s">
        <v>141</v>
      </c>
      <c r="D10" s="130"/>
      <c r="E10" s="62">
        <v>9.0</v>
      </c>
      <c r="F10" s="9" t="str">
        <f t="shared" si="1"/>
        <v>VI</v>
      </c>
      <c r="G10" s="7" t="str">
        <f t="shared" si="2"/>
        <v>SRF-A-9-VI</v>
      </c>
      <c r="H10" s="167" t="s">
        <v>142</v>
      </c>
      <c r="I10" s="62" t="s">
        <v>294</v>
      </c>
      <c r="J10" s="78" t="s">
        <v>313</v>
      </c>
      <c r="K10" s="9">
        <v>200.0</v>
      </c>
      <c r="L10" s="173" t="s">
        <v>458</v>
      </c>
      <c r="M10" s="62" t="s">
        <v>296</v>
      </c>
      <c r="N10" s="169">
        <v>5.0</v>
      </c>
      <c r="O10" s="62">
        <v>6.0</v>
      </c>
      <c r="P10" s="62" t="s">
        <v>145</v>
      </c>
      <c r="Q10" s="130"/>
      <c r="R10" s="167" t="s">
        <v>297</v>
      </c>
      <c r="S10" s="130"/>
      <c r="T10" s="80"/>
      <c r="U10" s="80"/>
      <c r="V10" s="170"/>
      <c r="W10" s="130"/>
      <c r="X10" s="171" t="s">
        <v>143</v>
      </c>
      <c r="Y10" s="60" t="s">
        <v>86</v>
      </c>
      <c r="Z10" s="9" t="s">
        <v>87</v>
      </c>
      <c r="AA10" s="167" t="s">
        <v>144</v>
      </c>
      <c r="AB10" s="130"/>
      <c r="AC10" s="130"/>
    </row>
    <row r="11">
      <c r="A11" s="167">
        <v>12.0</v>
      </c>
      <c r="B11" s="56" t="s">
        <v>457</v>
      </c>
      <c r="C11" s="167" t="s">
        <v>141</v>
      </c>
      <c r="D11" s="130"/>
      <c r="E11" s="62">
        <v>10.0</v>
      </c>
      <c r="F11" s="9" t="str">
        <f t="shared" si="1"/>
        <v>VI</v>
      </c>
      <c r="G11" s="7" t="str">
        <f t="shared" si="2"/>
        <v>SRF-A-10-VI</v>
      </c>
      <c r="H11" s="167" t="s">
        <v>142</v>
      </c>
      <c r="I11" s="62" t="s">
        <v>294</v>
      </c>
      <c r="J11" s="78" t="s">
        <v>313</v>
      </c>
      <c r="K11" s="9">
        <v>200.0</v>
      </c>
      <c r="L11" s="173" t="s">
        <v>458</v>
      </c>
      <c r="M11" s="62" t="s">
        <v>296</v>
      </c>
      <c r="N11" s="169">
        <v>5.0</v>
      </c>
      <c r="O11" s="62">
        <v>6.0</v>
      </c>
      <c r="P11" s="62" t="s">
        <v>145</v>
      </c>
      <c r="Q11" s="130"/>
      <c r="R11" s="167" t="s">
        <v>297</v>
      </c>
      <c r="S11" s="130"/>
      <c r="T11" s="80"/>
      <c r="U11" s="80"/>
      <c r="V11" s="170"/>
      <c r="W11" s="130"/>
      <c r="X11" s="171" t="s">
        <v>143</v>
      </c>
      <c r="Y11" s="60" t="s">
        <v>86</v>
      </c>
      <c r="Z11" s="9" t="s">
        <v>87</v>
      </c>
      <c r="AA11" s="167" t="s">
        <v>144</v>
      </c>
      <c r="AB11" s="130"/>
      <c r="AC11" s="130"/>
    </row>
    <row r="12">
      <c r="A12" s="167">
        <v>12.0</v>
      </c>
      <c r="B12" s="56" t="s">
        <v>457</v>
      </c>
      <c r="C12" s="167" t="s">
        <v>141</v>
      </c>
      <c r="D12" s="130"/>
      <c r="E12" s="62">
        <v>11.0</v>
      </c>
      <c r="F12" s="9" t="str">
        <f t="shared" si="1"/>
        <v>VI</v>
      </c>
      <c r="G12" s="7" t="str">
        <f t="shared" si="2"/>
        <v>SRF-A-11-VI</v>
      </c>
      <c r="H12" s="167" t="s">
        <v>142</v>
      </c>
      <c r="I12" s="62" t="s">
        <v>294</v>
      </c>
      <c r="J12" s="78" t="s">
        <v>313</v>
      </c>
      <c r="K12" s="9">
        <v>200.0</v>
      </c>
      <c r="L12" s="173" t="s">
        <v>458</v>
      </c>
      <c r="M12" s="62" t="s">
        <v>296</v>
      </c>
      <c r="N12" s="169">
        <v>5.0</v>
      </c>
      <c r="O12" s="62">
        <v>6.0</v>
      </c>
      <c r="P12" s="62" t="s">
        <v>145</v>
      </c>
      <c r="Q12" s="130"/>
      <c r="R12" s="167" t="s">
        <v>297</v>
      </c>
      <c r="S12" s="130"/>
      <c r="T12" s="80"/>
      <c r="U12" s="80"/>
      <c r="V12" s="170"/>
      <c r="W12" s="130"/>
      <c r="X12" s="171" t="s">
        <v>143</v>
      </c>
      <c r="Y12" s="60" t="s">
        <v>86</v>
      </c>
      <c r="Z12" s="9" t="s">
        <v>87</v>
      </c>
      <c r="AA12" s="167" t="s">
        <v>144</v>
      </c>
      <c r="AB12" s="130"/>
      <c r="AC12" s="130"/>
    </row>
  </sheetData>
  <dataValidations>
    <dataValidation type="list" allowBlank="1" showErrorMessage="1" sqref="M2:M12">
      <formula1>"تحت الإنشاء,متاحة,مباعة,محجوزة"</formula1>
    </dataValidation>
    <dataValidation type="list" allowBlank="1" showErrorMessage="1" sqref="P2:P12">
      <formula1>"صالة جلوس,مجلس,غرفة سائق,صالة طعام,غرفة خادمة,بلكونة,فناء خارجي,غرفة خدمات,غرفة غسيل"</formula1>
    </dataValidation>
    <dataValidation type="list" allowBlank="1" showErrorMessage="1" sqref="R2:R12">
      <formula1>"مؤسس,لا يوجد,جاهز"</formula1>
    </dataValidation>
    <dataValidation type="list" allowBlank="1" showErrorMessage="1" sqref="S2:S12">
      <formula1>"ارضي,اول,ثاني,ثالث"</formula1>
    </dataValidation>
    <dataValidation type="list" allowBlank="1" showErrorMessage="1" sqref="W2:W12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</hyperlinks>
  <drawing r:id="rId1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167">
        <v>13.0</v>
      </c>
      <c r="B2" s="56" t="s">
        <v>146</v>
      </c>
      <c r="C2" s="167" t="s">
        <v>147</v>
      </c>
      <c r="D2" s="130"/>
      <c r="E2" s="62">
        <v>1.0</v>
      </c>
      <c r="F2" s="9" t="str">
        <f t="shared" ref="F2:F3" si="1">IF(J2="دور","FL",
IF(J2="شقة","AP",
IF(J2="فيلا","VI",
IF(J2="تاون هاوس","TH",""))))
</f>
        <v>VI</v>
      </c>
      <c r="G2" s="7" t="str">
        <f t="shared" ref="G2:G3" si="2">B2&amp;"-"&amp;I2&amp;"-"&amp;E2&amp;"-"&amp;F2</f>
        <v>HBS-A-1-VI</v>
      </c>
      <c r="H2" s="167" t="s">
        <v>147</v>
      </c>
      <c r="I2" s="62" t="s">
        <v>294</v>
      </c>
      <c r="J2" s="78" t="s">
        <v>313</v>
      </c>
      <c r="K2" s="9">
        <v>200.0</v>
      </c>
      <c r="L2" s="173" t="s">
        <v>459</v>
      </c>
      <c r="M2" s="62" t="s">
        <v>296</v>
      </c>
      <c r="N2" s="142"/>
      <c r="O2" s="46"/>
      <c r="P2" s="16"/>
      <c r="Q2" s="130"/>
      <c r="R2" s="16"/>
      <c r="S2" s="130"/>
      <c r="T2" s="80"/>
      <c r="U2" s="80"/>
      <c r="V2" s="170"/>
      <c r="W2" s="130"/>
      <c r="X2" s="130"/>
      <c r="Y2" s="60" t="s">
        <v>86</v>
      </c>
      <c r="Z2" s="9" t="s">
        <v>87</v>
      </c>
      <c r="AA2" s="167" t="s">
        <v>144</v>
      </c>
      <c r="AB2" s="130"/>
      <c r="AC2" s="130"/>
    </row>
    <row r="3">
      <c r="A3" s="167">
        <v>13.0</v>
      </c>
      <c r="B3" s="56" t="s">
        <v>146</v>
      </c>
      <c r="C3" s="167" t="s">
        <v>147</v>
      </c>
      <c r="D3" s="130"/>
      <c r="E3" s="62">
        <v>2.0</v>
      </c>
      <c r="F3" s="9" t="str">
        <f t="shared" si="1"/>
        <v>VI</v>
      </c>
      <c r="G3" s="7" t="str">
        <f t="shared" si="2"/>
        <v>HBS-A-2-VI</v>
      </c>
      <c r="H3" s="167" t="s">
        <v>147</v>
      </c>
      <c r="I3" s="62" t="s">
        <v>294</v>
      </c>
      <c r="J3" s="78" t="s">
        <v>313</v>
      </c>
      <c r="K3" s="9">
        <v>200.0</v>
      </c>
      <c r="L3" s="173" t="s">
        <v>459</v>
      </c>
      <c r="M3" s="62" t="s">
        <v>296</v>
      </c>
      <c r="N3" s="142"/>
      <c r="O3" s="46"/>
      <c r="P3" s="130"/>
      <c r="Q3" s="130"/>
      <c r="R3" s="130"/>
      <c r="S3" s="130"/>
      <c r="T3" s="80"/>
      <c r="U3" s="80"/>
      <c r="V3" s="170"/>
      <c r="W3" s="130"/>
      <c r="X3" s="130"/>
      <c r="Y3" s="60" t="s">
        <v>86</v>
      </c>
      <c r="Z3" s="9" t="s">
        <v>87</v>
      </c>
      <c r="AA3" s="167" t="s">
        <v>144</v>
      </c>
      <c r="AB3" s="130"/>
      <c r="AC3" s="130"/>
    </row>
  </sheetData>
  <dataValidations>
    <dataValidation type="list" allowBlank="1" showErrorMessage="1" sqref="M2:M3">
      <formula1>"تحت الإنشاء,متاحة,مباعة,محجوزة"</formula1>
    </dataValidation>
    <dataValidation type="list" allowBlank="1" showErrorMessage="1" sqref="P2:P3">
      <formula1>"صالة جلوس,مجلس,غرفة سائق,صالة طعام,غرفة خادمة,بلكونة,فناء خارجي,غرفة خدمات,غرفة غسيل"</formula1>
    </dataValidation>
    <dataValidation type="list" allowBlank="1" showErrorMessage="1" sqref="R2:R3">
      <formula1>"مؤسس,لا يوجد,جاهز"</formula1>
    </dataValidation>
    <dataValidation type="list" allowBlank="1" showErrorMessage="1" sqref="S2:S3">
      <formula1>"ارضي,اول,ثاني,ثالث"</formula1>
    </dataValidation>
    <dataValidation type="list" allowBlank="1" showErrorMessage="1" sqref="W2:W3">
      <formula1>"زاوية,واجهة"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291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39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56">
        <v>13.0</v>
      </c>
      <c r="B2" s="56" t="s">
        <v>148</v>
      </c>
      <c r="C2" s="68" t="s">
        <v>112</v>
      </c>
      <c r="D2" s="46">
        <v>80.0</v>
      </c>
      <c r="E2" s="174">
        <v>1.0</v>
      </c>
      <c r="F2" s="9" t="str">
        <f t="shared" ref="F2:F25" si="1">IF(J2="دور","FL",
IF(J2="شقة","AP",
IF(J2="فيلا","VI",
IF(J2="تاون هاوس","TH",""))))
</f>
        <v>TH</v>
      </c>
      <c r="G2" s="7" t="str">
        <f t="shared" ref="G2:G25" si="2">B2&amp;"-"&amp;I2&amp;"-"&amp;E2&amp;"-"&amp;F2</f>
        <v>MAJ80-C-1-TH</v>
      </c>
      <c r="H2" s="68" t="s">
        <v>149</v>
      </c>
      <c r="I2" s="174" t="s">
        <v>317</v>
      </c>
      <c r="J2" s="51" t="s">
        <v>356</v>
      </c>
      <c r="K2" s="176">
        <v>517.0</v>
      </c>
      <c r="L2" s="10" t="s">
        <v>460</v>
      </c>
      <c r="M2" s="62" t="s">
        <v>296</v>
      </c>
      <c r="N2" s="142">
        <v>3.0</v>
      </c>
      <c r="O2" s="46">
        <v>5.0</v>
      </c>
      <c r="P2" s="16" t="s">
        <v>152</v>
      </c>
      <c r="Q2" s="130"/>
      <c r="R2" s="16" t="s">
        <v>297</v>
      </c>
      <c r="S2" s="130"/>
      <c r="T2" s="80"/>
      <c r="U2" s="80"/>
      <c r="V2" s="170"/>
      <c r="W2" s="130"/>
      <c r="X2" s="175" t="s">
        <v>150</v>
      </c>
      <c r="Y2" s="60" t="s">
        <v>86</v>
      </c>
      <c r="Z2" s="9" t="s">
        <v>87</v>
      </c>
      <c r="AA2" s="68" t="s">
        <v>151</v>
      </c>
      <c r="AB2" s="130"/>
      <c r="AC2" s="130"/>
    </row>
    <row r="3">
      <c r="A3" s="56">
        <v>13.0</v>
      </c>
      <c r="B3" s="56" t="s">
        <v>148</v>
      </c>
      <c r="C3" s="68" t="s">
        <v>112</v>
      </c>
      <c r="D3" s="46">
        <v>80.0</v>
      </c>
      <c r="E3" s="174">
        <v>2.0</v>
      </c>
      <c r="F3" s="9" t="str">
        <f t="shared" si="1"/>
        <v>TH</v>
      </c>
      <c r="G3" s="7" t="str">
        <f t="shared" si="2"/>
        <v>MAJ80-B-2-TH</v>
      </c>
      <c r="H3" s="68" t="s">
        <v>149</v>
      </c>
      <c r="I3" s="174" t="s">
        <v>303</v>
      </c>
      <c r="J3" s="51" t="s">
        <v>356</v>
      </c>
      <c r="K3" s="176">
        <v>384.0</v>
      </c>
      <c r="L3" s="10" t="s">
        <v>461</v>
      </c>
      <c r="M3" s="62" t="s">
        <v>296</v>
      </c>
      <c r="N3" s="142">
        <v>3.0</v>
      </c>
      <c r="O3" s="46">
        <v>5.0</v>
      </c>
      <c r="P3" s="16" t="s">
        <v>152</v>
      </c>
      <c r="Q3" s="130"/>
      <c r="R3" s="16" t="s">
        <v>297</v>
      </c>
      <c r="S3" s="130"/>
      <c r="T3" s="80"/>
      <c r="U3" s="80"/>
      <c r="V3" s="170"/>
      <c r="W3" s="130"/>
      <c r="X3" s="175" t="s">
        <v>150</v>
      </c>
      <c r="Y3" s="60" t="s">
        <v>86</v>
      </c>
      <c r="Z3" s="9" t="s">
        <v>87</v>
      </c>
      <c r="AA3" s="68" t="s">
        <v>151</v>
      </c>
      <c r="AB3" s="130"/>
      <c r="AC3" s="130"/>
    </row>
    <row r="4">
      <c r="A4" s="56">
        <v>13.0</v>
      </c>
      <c r="B4" s="56" t="s">
        <v>148</v>
      </c>
      <c r="C4" s="68" t="s">
        <v>112</v>
      </c>
      <c r="D4" s="46">
        <v>80.0</v>
      </c>
      <c r="E4" s="174">
        <v>3.0</v>
      </c>
      <c r="F4" s="9" t="str">
        <f t="shared" si="1"/>
        <v>TH</v>
      </c>
      <c r="G4" s="7" t="str">
        <f t="shared" si="2"/>
        <v>MAJ80-B-3-TH</v>
      </c>
      <c r="H4" s="68" t="s">
        <v>149</v>
      </c>
      <c r="I4" s="174" t="s">
        <v>303</v>
      </c>
      <c r="J4" s="51" t="s">
        <v>356</v>
      </c>
      <c r="K4" s="176">
        <v>384.0</v>
      </c>
      <c r="L4" s="10" t="s">
        <v>461</v>
      </c>
      <c r="M4" s="62" t="s">
        <v>296</v>
      </c>
      <c r="N4" s="142">
        <v>3.0</v>
      </c>
      <c r="O4" s="46">
        <v>5.0</v>
      </c>
      <c r="P4" s="16" t="s">
        <v>152</v>
      </c>
      <c r="Q4" s="130"/>
      <c r="R4" s="16" t="s">
        <v>297</v>
      </c>
      <c r="S4" s="130"/>
      <c r="T4" s="80"/>
      <c r="U4" s="80"/>
      <c r="V4" s="170"/>
      <c r="W4" s="130"/>
      <c r="X4" s="175" t="s">
        <v>150</v>
      </c>
      <c r="Y4" s="60" t="s">
        <v>86</v>
      </c>
      <c r="Z4" s="9" t="s">
        <v>87</v>
      </c>
      <c r="AA4" s="68" t="s">
        <v>151</v>
      </c>
      <c r="AB4" s="130"/>
      <c r="AC4" s="130"/>
    </row>
    <row r="5">
      <c r="A5" s="56">
        <v>13.0</v>
      </c>
      <c r="B5" s="56" t="s">
        <v>148</v>
      </c>
      <c r="C5" s="68" t="s">
        <v>112</v>
      </c>
      <c r="D5" s="46">
        <v>80.0</v>
      </c>
      <c r="E5" s="174">
        <v>4.0</v>
      </c>
      <c r="F5" s="9" t="str">
        <f t="shared" si="1"/>
        <v>TH</v>
      </c>
      <c r="G5" s="7" t="str">
        <f t="shared" si="2"/>
        <v>MAJ80-B-4-TH</v>
      </c>
      <c r="H5" s="68" t="s">
        <v>149</v>
      </c>
      <c r="I5" s="174" t="s">
        <v>303</v>
      </c>
      <c r="J5" s="51" t="s">
        <v>356</v>
      </c>
      <c r="K5" s="176">
        <v>384.0</v>
      </c>
      <c r="L5" s="10" t="s">
        <v>461</v>
      </c>
      <c r="M5" s="62" t="s">
        <v>296</v>
      </c>
      <c r="N5" s="142">
        <v>3.0</v>
      </c>
      <c r="O5" s="46">
        <v>5.0</v>
      </c>
      <c r="P5" s="16" t="s">
        <v>152</v>
      </c>
      <c r="Q5" s="130"/>
      <c r="R5" s="16" t="s">
        <v>297</v>
      </c>
      <c r="S5" s="130"/>
      <c r="T5" s="80"/>
      <c r="U5" s="80"/>
      <c r="V5" s="170"/>
      <c r="W5" s="130"/>
      <c r="X5" s="175" t="s">
        <v>150</v>
      </c>
      <c r="Y5" s="60" t="s">
        <v>86</v>
      </c>
      <c r="Z5" s="9" t="s">
        <v>87</v>
      </c>
      <c r="AA5" s="68" t="s">
        <v>151</v>
      </c>
      <c r="AB5" s="130"/>
      <c r="AC5" s="130"/>
    </row>
    <row r="6">
      <c r="A6" s="56">
        <v>13.0</v>
      </c>
      <c r="B6" s="56" t="s">
        <v>148</v>
      </c>
      <c r="C6" s="68" t="s">
        <v>112</v>
      </c>
      <c r="D6" s="46">
        <v>80.0</v>
      </c>
      <c r="E6" s="174">
        <v>5.0</v>
      </c>
      <c r="F6" s="9" t="str">
        <f t="shared" si="1"/>
        <v>TH</v>
      </c>
      <c r="G6" s="7" t="str">
        <f t="shared" si="2"/>
        <v>MAJ80-B-5-TH</v>
      </c>
      <c r="H6" s="68" t="s">
        <v>149</v>
      </c>
      <c r="I6" s="174" t="s">
        <v>303</v>
      </c>
      <c r="J6" s="51" t="s">
        <v>356</v>
      </c>
      <c r="K6" s="176">
        <v>384.0</v>
      </c>
      <c r="L6" s="10" t="s">
        <v>461</v>
      </c>
      <c r="M6" s="62" t="s">
        <v>296</v>
      </c>
      <c r="N6" s="142">
        <v>3.0</v>
      </c>
      <c r="O6" s="46">
        <v>5.0</v>
      </c>
      <c r="P6" s="16" t="s">
        <v>152</v>
      </c>
      <c r="Q6" s="130"/>
      <c r="R6" s="16" t="s">
        <v>297</v>
      </c>
      <c r="S6" s="130"/>
      <c r="T6" s="80"/>
      <c r="U6" s="80"/>
      <c r="V6" s="170"/>
      <c r="W6" s="130"/>
      <c r="X6" s="175" t="s">
        <v>150</v>
      </c>
      <c r="Y6" s="60" t="s">
        <v>86</v>
      </c>
      <c r="Z6" s="9" t="s">
        <v>87</v>
      </c>
      <c r="AA6" s="68" t="s">
        <v>151</v>
      </c>
      <c r="AB6" s="130"/>
      <c r="AC6" s="130"/>
    </row>
    <row r="7">
      <c r="A7" s="56">
        <v>13.0</v>
      </c>
      <c r="B7" s="56" t="s">
        <v>148</v>
      </c>
      <c r="C7" s="68" t="s">
        <v>112</v>
      </c>
      <c r="D7" s="46">
        <v>80.0</v>
      </c>
      <c r="E7" s="174">
        <v>6.0</v>
      </c>
      <c r="F7" s="9" t="str">
        <f t="shared" si="1"/>
        <v>TH</v>
      </c>
      <c r="G7" s="7" t="str">
        <f t="shared" si="2"/>
        <v>MAJ80-B-6-TH</v>
      </c>
      <c r="H7" s="68" t="s">
        <v>149</v>
      </c>
      <c r="I7" s="174" t="s">
        <v>303</v>
      </c>
      <c r="J7" s="51" t="s">
        <v>356</v>
      </c>
      <c r="K7" s="176">
        <v>384.0</v>
      </c>
      <c r="L7" s="10" t="s">
        <v>461</v>
      </c>
      <c r="M7" s="62" t="s">
        <v>296</v>
      </c>
      <c r="N7" s="142">
        <v>3.0</v>
      </c>
      <c r="O7" s="46">
        <v>5.0</v>
      </c>
      <c r="P7" s="16" t="s">
        <v>152</v>
      </c>
      <c r="Q7" s="130"/>
      <c r="R7" s="16" t="s">
        <v>297</v>
      </c>
      <c r="S7" s="130"/>
      <c r="T7" s="80"/>
      <c r="U7" s="80"/>
      <c r="V7" s="170"/>
      <c r="W7" s="130"/>
      <c r="X7" s="175" t="s">
        <v>150</v>
      </c>
      <c r="Y7" s="60" t="s">
        <v>86</v>
      </c>
      <c r="Z7" s="9" t="s">
        <v>87</v>
      </c>
      <c r="AA7" s="68" t="s">
        <v>151</v>
      </c>
      <c r="AB7" s="130"/>
      <c r="AC7" s="130"/>
    </row>
    <row r="8">
      <c r="A8" s="56">
        <v>13.0</v>
      </c>
      <c r="B8" s="56" t="s">
        <v>148</v>
      </c>
      <c r="C8" s="68" t="s">
        <v>112</v>
      </c>
      <c r="D8" s="46">
        <v>80.0</v>
      </c>
      <c r="E8" s="174">
        <v>7.0</v>
      </c>
      <c r="F8" s="9" t="str">
        <f t="shared" si="1"/>
        <v>TH</v>
      </c>
      <c r="G8" s="7" t="str">
        <f t="shared" si="2"/>
        <v>MAJ80-B-7-TH</v>
      </c>
      <c r="H8" s="68" t="s">
        <v>149</v>
      </c>
      <c r="I8" s="174" t="s">
        <v>303</v>
      </c>
      <c r="J8" s="51" t="s">
        <v>356</v>
      </c>
      <c r="K8" s="176">
        <v>384.0</v>
      </c>
      <c r="L8" s="10" t="s">
        <v>461</v>
      </c>
      <c r="M8" s="62" t="s">
        <v>296</v>
      </c>
      <c r="N8" s="142">
        <v>3.0</v>
      </c>
      <c r="O8" s="46">
        <v>5.0</v>
      </c>
      <c r="P8" s="16" t="s">
        <v>152</v>
      </c>
      <c r="Q8" s="130"/>
      <c r="R8" s="16" t="s">
        <v>297</v>
      </c>
      <c r="S8" s="130"/>
      <c r="T8" s="80"/>
      <c r="U8" s="80"/>
      <c r="V8" s="170"/>
      <c r="W8" s="130"/>
      <c r="X8" s="175" t="s">
        <v>150</v>
      </c>
      <c r="Y8" s="60" t="s">
        <v>86</v>
      </c>
      <c r="Z8" s="9" t="s">
        <v>87</v>
      </c>
      <c r="AA8" s="68" t="s">
        <v>151</v>
      </c>
      <c r="AB8" s="130"/>
      <c r="AC8" s="130"/>
    </row>
    <row r="9">
      <c r="A9" s="56">
        <v>13.0</v>
      </c>
      <c r="B9" s="56" t="s">
        <v>148</v>
      </c>
      <c r="C9" s="68" t="s">
        <v>112</v>
      </c>
      <c r="D9" s="46">
        <v>80.0</v>
      </c>
      <c r="E9" s="174">
        <v>8.0</v>
      </c>
      <c r="F9" s="9" t="str">
        <f t="shared" si="1"/>
        <v>TH</v>
      </c>
      <c r="G9" s="7" t="str">
        <f t="shared" si="2"/>
        <v>MAJ80-B-8-TH</v>
      </c>
      <c r="H9" s="68" t="s">
        <v>149</v>
      </c>
      <c r="I9" s="174" t="s">
        <v>303</v>
      </c>
      <c r="J9" s="51" t="s">
        <v>356</v>
      </c>
      <c r="K9" s="176">
        <v>384.0</v>
      </c>
      <c r="L9" s="10" t="s">
        <v>461</v>
      </c>
      <c r="M9" s="62" t="s">
        <v>296</v>
      </c>
      <c r="N9" s="142">
        <v>3.0</v>
      </c>
      <c r="O9" s="46">
        <v>5.0</v>
      </c>
      <c r="P9" s="16" t="s">
        <v>152</v>
      </c>
      <c r="Q9" s="130"/>
      <c r="R9" s="16" t="s">
        <v>297</v>
      </c>
      <c r="S9" s="130"/>
      <c r="T9" s="80"/>
      <c r="U9" s="80"/>
      <c r="V9" s="170"/>
      <c r="W9" s="130"/>
      <c r="X9" s="175" t="s">
        <v>150</v>
      </c>
      <c r="Y9" s="60" t="s">
        <v>86</v>
      </c>
      <c r="Z9" s="9" t="s">
        <v>87</v>
      </c>
      <c r="AA9" s="68" t="s">
        <v>151</v>
      </c>
      <c r="AB9" s="130"/>
      <c r="AC9" s="130"/>
    </row>
    <row r="10">
      <c r="A10" s="56">
        <v>13.0</v>
      </c>
      <c r="B10" s="56" t="s">
        <v>148</v>
      </c>
      <c r="C10" s="68" t="s">
        <v>112</v>
      </c>
      <c r="D10" s="46">
        <v>80.0</v>
      </c>
      <c r="E10" s="174">
        <v>9.0</v>
      </c>
      <c r="F10" s="9" t="str">
        <f t="shared" si="1"/>
        <v>TH</v>
      </c>
      <c r="G10" s="7" t="str">
        <f t="shared" si="2"/>
        <v>MAJ80-B-9-TH</v>
      </c>
      <c r="H10" s="68" t="s">
        <v>149</v>
      </c>
      <c r="I10" s="174" t="s">
        <v>303</v>
      </c>
      <c r="J10" s="51" t="s">
        <v>356</v>
      </c>
      <c r="K10" s="176">
        <v>384.0</v>
      </c>
      <c r="L10" s="10" t="s">
        <v>461</v>
      </c>
      <c r="M10" s="62" t="s">
        <v>296</v>
      </c>
      <c r="N10" s="142">
        <v>3.0</v>
      </c>
      <c r="O10" s="46">
        <v>5.0</v>
      </c>
      <c r="P10" s="16" t="s">
        <v>152</v>
      </c>
      <c r="Q10" s="130"/>
      <c r="R10" s="16" t="s">
        <v>297</v>
      </c>
      <c r="S10" s="130"/>
      <c r="T10" s="80"/>
      <c r="U10" s="80"/>
      <c r="V10" s="170"/>
      <c r="W10" s="130"/>
      <c r="X10" s="175" t="s">
        <v>150</v>
      </c>
      <c r="Y10" s="60" t="s">
        <v>86</v>
      </c>
      <c r="Z10" s="9" t="s">
        <v>87</v>
      </c>
      <c r="AA10" s="68" t="s">
        <v>151</v>
      </c>
      <c r="AB10" s="130"/>
      <c r="AC10" s="130"/>
    </row>
    <row r="11">
      <c r="A11" s="56">
        <v>13.0</v>
      </c>
      <c r="B11" s="56" t="s">
        <v>148</v>
      </c>
      <c r="C11" s="68" t="s">
        <v>112</v>
      </c>
      <c r="D11" s="46">
        <v>80.0</v>
      </c>
      <c r="E11" s="174">
        <v>10.0</v>
      </c>
      <c r="F11" s="9" t="str">
        <f t="shared" si="1"/>
        <v>TH</v>
      </c>
      <c r="G11" s="7" t="str">
        <f t="shared" si="2"/>
        <v>MAJ80-C-10-TH</v>
      </c>
      <c r="H11" s="68" t="s">
        <v>149</v>
      </c>
      <c r="I11" s="174" t="s">
        <v>317</v>
      </c>
      <c r="J11" s="51" t="s">
        <v>356</v>
      </c>
      <c r="K11" s="176">
        <v>517.0</v>
      </c>
      <c r="L11" s="10" t="s">
        <v>460</v>
      </c>
      <c r="M11" s="62" t="s">
        <v>296</v>
      </c>
      <c r="N11" s="142">
        <v>3.0</v>
      </c>
      <c r="O11" s="46">
        <v>5.0</v>
      </c>
      <c r="P11" s="16" t="s">
        <v>152</v>
      </c>
      <c r="Q11" s="130"/>
      <c r="R11" s="16" t="s">
        <v>297</v>
      </c>
      <c r="S11" s="130"/>
      <c r="T11" s="80"/>
      <c r="U11" s="80"/>
      <c r="V11" s="170"/>
      <c r="W11" s="130"/>
      <c r="X11" s="175" t="s">
        <v>150</v>
      </c>
      <c r="Y11" s="60" t="s">
        <v>86</v>
      </c>
      <c r="Z11" s="9" t="s">
        <v>87</v>
      </c>
      <c r="AA11" s="68" t="s">
        <v>151</v>
      </c>
      <c r="AB11" s="130"/>
      <c r="AC11" s="130"/>
    </row>
    <row r="12">
      <c r="A12" s="56">
        <v>13.0</v>
      </c>
      <c r="B12" s="56" t="s">
        <v>148</v>
      </c>
      <c r="C12" s="68" t="s">
        <v>112</v>
      </c>
      <c r="D12" s="46">
        <v>80.0</v>
      </c>
      <c r="E12" s="174">
        <v>11.0</v>
      </c>
      <c r="F12" s="9" t="str">
        <f t="shared" si="1"/>
        <v>TH</v>
      </c>
      <c r="G12" s="7" t="str">
        <f t="shared" si="2"/>
        <v>MAJ80-B-11-TH</v>
      </c>
      <c r="H12" s="68" t="s">
        <v>149</v>
      </c>
      <c r="I12" s="174" t="s">
        <v>303</v>
      </c>
      <c r="J12" s="51" t="s">
        <v>356</v>
      </c>
      <c r="K12" s="176">
        <v>384.0</v>
      </c>
      <c r="L12" s="10" t="s">
        <v>461</v>
      </c>
      <c r="M12" s="62" t="s">
        <v>296</v>
      </c>
      <c r="N12" s="142">
        <v>3.0</v>
      </c>
      <c r="O12" s="46">
        <v>5.0</v>
      </c>
      <c r="P12" s="16" t="s">
        <v>152</v>
      </c>
      <c r="Q12" s="130"/>
      <c r="R12" s="16" t="s">
        <v>297</v>
      </c>
      <c r="S12" s="130"/>
      <c r="T12" s="80"/>
      <c r="U12" s="80"/>
      <c r="V12" s="170"/>
      <c r="W12" s="130"/>
      <c r="X12" s="175" t="s">
        <v>150</v>
      </c>
      <c r="Y12" s="60" t="s">
        <v>86</v>
      </c>
      <c r="Z12" s="9" t="s">
        <v>87</v>
      </c>
      <c r="AA12" s="68" t="s">
        <v>151</v>
      </c>
      <c r="AB12" s="130"/>
      <c r="AC12" s="130"/>
    </row>
    <row r="13">
      <c r="A13" s="56">
        <v>13.0</v>
      </c>
      <c r="B13" s="56" t="s">
        <v>148</v>
      </c>
      <c r="C13" s="68" t="s">
        <v>112</v>
      </c>
      <c r="D13" s="46">
        <v>80.0</v>
      </c>
      <c r="E13" s="174">
        <v>12.0</v>
      </c>
      <c r="F13" s="9" t="str">
        <f t="shared" si="1"/>
        <v>TH</v>
      </c>
      <c r="G13" s="7" t="str">
        <f t="shared" si="2"/>
        <v>MAJ80-B-12-TH</v>
      </c>
      <c r="H13" s="68" t="s">
        <v>149</v>
      </c>
      <c r="I13" s="174" t="s">
        <v>303</v>
      </c>
      <c r="J13" s="51" t="s">
        <v>356</v>
      </c>
      <c r="K13" s="176">
        <v>384.0</v>
      </c>
      <c r="L13" s="10" t="s">
        <v>461</v>
      </c>
      <c r="M13" s="62" t="s">
        <v>296</v>
      </c>
      <c r="N13" s="142">
        <v>3.0</v>
      </c>
      <c r="O13" s="46">
        <v>5.0</v>
      </c>
      <c r="P13" s="16" t="s">
        <v>152</v>
      </c>
      <c r="Q13" s="130"/>
      <c r="R13" s="16" t="s">
        <v>297</v>
      </c>
      <c r="S13" s="130"/>
      <c r="T13" s="80"/>
      <c r="U13" s="80"/>
      <c r="V13" s="170"/>
      <c r="W13" s="130"/>
      <c r="X13" s="175" t="s">
        <v>150</v>
      </c>
      <c r="Y13" s="60" t="s">
        <v>86</v>
      </c>
      <c r="Z13" s="9" t="s">
        <v>87</v>
      </c>
      <c r="AA13" s="68" t="s">
        <v>151</v>
      </c>
      <c r="AB13" s="130"/>
      <c r="AC13" s="130"/>
    </row>
    <row r="14">
      <c r="A14" s="56">
        <v>13.0</v>
      </c>
      <c r="B14" s="56" t="s">
        <v>148</v>
      </c>
      <c r="C14" s="68" t="s">
        <v>112</v>
      </c>
      <c r="D14" s="46">
        <v>80.0</v>
      </c>
      <c r="E14" s="174">
        <v>13.0</v>
      </c>
      <c r="F14" s="9" t="str">
        <f t="shared" si="1"/>
        <v>TH</v>
      </c>
      <c r="G14" s="7" t="str">
        <f t="shared" si="2"/>
        <v>MAJ80-B-13-TH</v>
      </c>
      <c r="H14" s="68" t="s">
        <v>149</v>
      </c>
      <c r="I14" s="174" t="s">
        <v>303</v>
      </c>
      <c r="J14" s="51" t="s">
        <v>356</v>
      </c>
      <c r="K14" s="176">
        <v>384.0</v>
      </c>
      <c r="L14" s="10" t="s">
        <v>461</v>
      </c>
      <c r="M14" s="62" t="s">
        <v>296</v>
      </c>
      <c r="N14" s="142">
        <v>3.0</v>
      </c>
      <c r="O14" s="46">
        <v>5.0</v>
      </c>
      <c r="P14" s="16" t="s">
        <v>152</v>
      </c>
      <c r="Q14" s="130"/>
      <c r="R14" s="16" t="s">
        <v>297</v>
      </c>
      <c r="S14" s="130"/>
      <c r="T14" s="80"/>
      <c r="U14" s="80"/>
      <c r="V14" s="170"/>
      <c r="W14" s="130"/>
      <c r="X14" s="175" t="s">
        <v>150</v>
      </c>
      <c r="Y14" s="60" t="s">
        <v>86</v>
      </c>
      <c r="Z14" s="9" t="s">
        <v>87</v>
      </c>
      <c r="AA14" s="68" t="s">
        <v>151</v>
      </c>
      <c r="AB14" s="130"/>
      <c r="AC14" s="130"/>
    </row>
    <row r="15">
      <c r="A15" s="56">
        <v>13.0</v>
      </c>
      <c r="B15" s="56" t="s">
        <v>148</v>
      </c>
      <c r="C15" s="68" t="s">
        <v>112</v>
      </c>
      <c r="D15" s="46">
        <v>80.0</v>
      </c>
      <c r="E15" s="174">
        <v>14.0</v>
      </c>
      <c r="F15" s="9" t="str">
        <f t="shared" si="1"/>
        <v>TH</v>
      </c>
      <c r="G15" s="7" t="str">
        <f t="shared" si="2"/>
        <v>MAJ80-B-14-TH</v>
      </c>
      <c r="H15" s="68" t="s">
        <v>149</v>
      </c>
      <c r="I15" s="174" t="s">
        <v>303</v>
      </c>
      <c r="J15" s="51" t="s">
        <v>356</v>
      </c>
      <c r="K15" s="176">
        <v>384.0</v>
      </c>
      <c r="L15" s="10" t="s">
        <v>461</v>
      </c>
      <c r="M15" s="62" t="s">
        <v>296</v>
      </c>
      <c r="N15" s="142">
        <v>3.0</v>
      </c>
      <c r="O15" s="46">
        <v>5.0</v>
      </c>
      <c r="P15" s="16" t="s">
        <v>152</v>
      </c>
      <c r="Q15" s="130"/>
      <c r="R15" s="16" t="s">
        <v>297</v>
      </c>
      <c r="S15" s="130"/>
      <c r="T15" s="80"/>
      <c r="U15" s="80"/>
      <c r="V15" s="170"/>
      <c r="W15" s="130"/>
      <c r="X15" s="175" t="s">
        <v>150</v>
      </c>
      <c r="Y15" s="60" t="s">
        <v>86</v>
      </c>
      <c r="Z15" s="9" t="s">
        <v>87</v>
      </c>
      <c r="AA15" s="68" t="s">
        <v>151</v>
      </c>
      <c r="AB15" s="130"/>
      <c r="AC15" s="130"/>
    </row>
    <row r="16">
      <c r="A16" s="56">
        <v>13.0</v>
      </c>
      <c r="B16" s="56" t="s">
        <v>148</v>
      </c>
      <c r="C16" s="68" t="s">
        <v>112</v>
      </c>
      <c r="D16" s="46">
        <v>80.0</v>
      </c>
      <c r="E16" s="174">
        <v>15.0</v>
      </c>
      <c r="F16" s="9" t="str">
        <f t="shared" si="1"/>
        <v>TH</v>
      </c>
      <c r="G16" s="7" t="str">
        <f t="shared" si="2"/>
        <v>MAJ80-B-15-TH</v>
      </c>
      <c r="H16" s="68" t="s">
        <v>149</v>
      </c>
      <c r="I16" s="174" t="s">
        <v>303</v>
      </c>
      <c r="J16" s="51" t="s">
        <v>356</v>
      </c>
      <c r="K16" s="176">
        <v>384.0</v>
      </c>
      <c r="L16" s="10" t="s">
        <v>461</v>
      </c>
      <c r="M16" s="62" t="s">
        <v>296</v>
      </c>
      <c r="N16" s="142">
        <v>3.0</v>
      </c>
      <c r="O16" s="46">
        <v>5.0</v>
      </c>
      <c r="P16" s="16" t="s">
        <v>152</v>
      </c>
      <c r="Q16" s="130"/>
      <c r="R16" s="16" t="s">
        <v>297</v>
      </c>
      <c r="S16" s="130"/>
      <c r="T16" s="80"/>
      <c r="U16" s="80"/>
      <c r="V16" s="170"/>
      <c r="W16" s="130"/>
      <c r="X16" s="175" t="s">
        <v>150</v>
      </c>
      <c r="Y16" s="60" t="s">
        <v>86</v>
      </c>
      <c r="Z16" s="9" t="s">
        <v>87</v>
      </c>
      <c r="AA16" s="68" t="s">
        <v>151</v>
      </c>
      <c r="AB16" s="130"/>
      <c r="AC16" s="130"/>
    </row>
    <row r="17">
      <c r="A17" s="56">
        <v>13.0</v>
      </c>
      <c r="B17" s="56" t="s">
        <v>148</v>
      </c>
      <c r="C17" s="68" t="s">
        <v>112</v>
      </c>
      <c r="D17" s="46">
        <v>80.0</v>
      </c>
      <c r="E17" s="174">
        <v>16.0</v>
      </c>
      <c r="F17" s="9" t="str">
        <f t="shared" si="1"/>
        <v>TH</v>
      </c>
      <c r="G17" s="7" t="str">
        <f t="shared" si="2"/>
        <v>MAJ80-C-16-TH</v>
      </c>
      <c r="H17" s="68" t="s">
        <v>149</v>
      </c>
      <c r="I17" s="174" t="s">
        <v>317</v>
      </c>
      <c r="J17" s="51" t="s">
        <v>356</v>
      </c>
      <c r="K17" s="176">
        <v>517.0</v>
      </c>
      <c r="L17" s="10" t="s">
        <v>460</v>
      </c>
      <c r="M17" s="62" t="s">
        <v>296</v>
      </c>
      <c r="N17" s="142">
        <v>3.0</v>
      </c>
      <c r="O17" s="46">
        <v>5.0</v>
      </c>
      <c r="P17" s="16" t="s">
        <v>152</v>
      </c>
      <c r="Q17" s="130"/>
      <c r="R17" s="16" t="s">
        <v>297</v>
      </c>
      <c r="S17" s="130"/>
      <c r="T17" s="80"/>
      <c r="U17" s="80"/>
      <c r="V17" s="170"/>
      <c r="W17" s="130"/>
      <c r="X17" s="175" t="s">
        <v>150</v>
      </c>
      <c r="Y17" s="60" t="s">
        <v>86</v>
      </c>
      <c r="Z17" s="9" t="s">
        <v>87</v>
      </c>
      <c r="AA17" s="68" t="s">
        <v>151</v>
      </c>
      <c r="AB17" s="130"/>
      <c r="AC17" s="130"/>
    </row>
    <row r="18">
      <c r="A18" s="56">
        <v>13.0</v>
      </c>
      <c r="B18" s="56" t="s">
        <v>148</v>
      </c>
      <c r="C18" s="68" t="s">
        <v>112</v>
      </c>
      <c r="D18" s="46">
        <v>80.0</v>
      </c>
      <c r="E18" s="174">
        <v>17.0</v>
      </c>
      <c r="F18" s="9" t="str">
        <f t="shared" si="1"/>
        <v>TH</v>
      </c>
      <c r="G18" s="7" t="str">
        <f t="shared" si="2"/>
        <v>MAJ80-B-17-TH</v>
      </c>
      <c r="H18" s="68" t="s">
        <v>149</v>
      </c>
      <c r="I18" s="174" t="s">
        <v>303</v>
      </c>
      <c r="J18" s="51" t="s">
        <v>356</v>
      </c>
      <c r="K18" s="176">
        <v>384.0</v>
      </c>
      <c r="L18" s="10" t="s">
        <v>461</v>
      </c>
      <c r="M18" s="62" t="s">
        <v>296</v>
      </c>
      <c r="N18" s="142">
        <v>3.0</v>
      </c>
      <c r="O18" s="46">
        <v>5.0</v>
      </c>
      <c r="P18" s="16" t="s">
        <v>152</v>
      </c>
      <c r="Q18" s="130"/>
      <c r="R18" s="16" t="s">
        <v>297</v>
      </c>
      <c r="S18" s="130"/>
      <c r="T18" s="80"/>
      <c r="U18" s="80"/>
      <c r="V18" s="170"/>
      <c r="W18" s="130"/>
      <c r="X18" s="175" t="s">
        <v>150</v>
      </c>
      <c r="Y18" s="60" t="s">
        <v>86</v>
      </c>
      <c r="Z18" s="9" t="s">
        <v>87</v>
      </c>
      <c r="AA18" s="68" t="s">
        <v>151</v>
      </c>
      <c r="AB18" s="130"/>
      <c r="AC18" s="130"/>
    </row>
    <row r="19">
      <c r="A19" s="56">
        <v>13.0</v>
      </c>
      <c r="B19" s="56" t="s">
        <v>148</v>
      </c>
      <c r="C19" s="68" t="s">
        <v>112</v>
      </c>
      <c r="D19" s="46">
        <v>80.0</v>
      </c>
      <c r="E19" s="174">
        <v>18.0</v>
      </c>
      <c r="F19" s="9" t="str">
        <f t="shared" si="1"/>
        <v>TH</v>
      </c>
      <c r="G19" s="7" t="str">
        <f t="shared" si="2"/>
        <v>MAJ80-B-18-TH</v>
      </c>
      <c r="H19" s="68" t="s">
        <v>149</v>
      </c>
      <c r="I19" s="174" t="s">
        <v>303</v>
      </c>
      <c r="J19" s="51" t="s">
        <v>356</v>
      </c>
      <c r="K19" s="176">
        <v>384.0</v>
      </c>
      <c r="L19" s="10" t="s">
        <v>461</v>
      </c>
      <c r="M19" s="62" t="s">
        <v>296</v>
      </c>
      <c r="N19" s="142">
        <v>3.0</v>
      </c>
      <c r="O19" s="46">
        <v>5.0</v>
      </c>
      <c r="P19" s="16" t="s">
        <v>152</v>
      </c>
      <c r="Q19" s="130"/>
      <c r="R19" s="16" t="s">
        <v>297</v>
      </c>
      <c r="S19" s="130"/>
      <c r="T19" s="80"/>
      <c r="U19" s="80"/>
      <c r="V19" s="170"/>
      <c r="W19" s="130"/>
      <c r="X19" s="175" t="s">
        <v>150</v>
      </c>
      <c r="Y19" s="60" t="s">
        <v>86</v>
      </c>
      <c r="Z19" s="9" t="s">
        <v>87</v>
      </c>
      <c r="AA19" s="68" t="s">
        <v>151</v>
      </c>
      <c r="AB19" s="130"/>
      <c r="AC19" s="130"/>
    </row>
    <row r="20">
      <c r="A20" s="56">
        <v>13.0</v>
      </c>
      <c r="B20" s="56" t="s">
        <v>148</v>
      </c>
      <c r="C20" s="68" t="s">
        <v>112</v>
      </c>
      <c r="D20" s="46">
        <v>80.0</v>
      </c>
      <c r="E20" s="174">
        <v>19.0</v>
      </c>
      <c r="F20" s="9" t="str">
        <f t="shared" si="1"/>
        <v>TH</v>
      </c>
      <c r="G20" s="7" t="str">
        <f t="shared" si="2"/>
        <v>MAJ80-B-19-TH</v>
      </c>
      <c r="H20" s="68" t="s">
        <v>149</v>
      </c>
      <c r="I20" s="174" t="s">
        <v>303</v>
      </c>
      <c r="J20" s="51" t="s">
        <v>356</v>
      </c>
      <c r="K20" s="176">
        <v>384.0</v>
      </c>
      <c r="L20" s="10" t="s">
        <v>461</v>
      </c>
      <c r="M20" s="62" t="s">
        <v>296</v>
      </c>
      <c r="N20" s="142">
        <v>3.0</v>
      </c>
      <c r="O20" s="46">
        <v>5.0</v>
      </c>
      <c r="P20" s="16" t="s">
        <v>152</v>
      </c>
      <c r="Q20" s="130"/>
      <c r="R20" s="16" t="s">
        <v>297</v>
      </c>
      <c r="S20" s="130"/>
      <c r="T20" s="80"/>
      <c r="U20" s="80"/>
      <c r="V20" s="170"/>
      <c r="W20" s="130"/>
      <c r="X20" s="175" t="s">
        <v>150</v>
      </c>
      <c r="Y20" s="60" t="s">
        <v>86</v>
      </c>
      <c r="Z20" s="9" t="s">
        <v>87</v>
      </c>
      <c r="AA20" s="68" t="s">
        <v>151</v>
      </c>
      <c r="AB20" s="130"/>
      <c r="AC20" s="130"/>
    </row>
    <row r="21">
      <c r="A21" s="56">
        <v>13.0</v>
      </c>
      <c r="B21" s="56" t="s">
        <v>148</v>
      </c>
      <c r="C21" s="68" t="s">
        <v>112</v>
      </c>
      <c r="D21" s="46">
        <v>80.0</v>
      </c>
      <c r="E21" s="174">
        <v>20.0</v>
      </c>
      <c r="F21" s="9" t="str">
        <f t="shared" si="1"/>
        <v>TH</v>
      </c>
      <c r="G21" s="7" t="str">
        <f t="shared" si="2"/>
        <v>MAJ80-B-20-TH</v>
      </c>
      <c r="H21" s="68" t="s">
        <v>149</v>
      </c>
      <c r="I21" s="174" t="s">
        <v>303</v>
      </c>
      <c r="J21" s="51" t="s">
        <v>356</v>
      </c>
      <c r="K21" s="176">
        <v>384.0</v>
      </c>
      <c r="L21" s="10" t="s">
        <v>461</v>
      </c>
      <c r="M21" s="62" t="s">
        <v>296</v>
      </c>
      <c r="N21" s="142">
        <v>3.0</v>
      </c>
      <c r="O21" s="46">
        <v>5.0</v>
      </c>
      <c r="P21" s="16" t="s">
        <v>152</v>
      </c>
      <c r="Q21" s="130"/>
      <c r="R21" s="16" t="s">
        <v>297</v>
      </c>
      <c r="S21" s="130"/>
      <c r="T21" s="80"/>
      <c r="U21" s="80"/>
      <c r="V21" s="170"/>
      <c r="W21" s="130"/>
      <c r="X21" s="175" t="s">
        <v>150</v>
      </c>
      <c r="Y21" s="60" t="s">
        <v>86</v>
      </c>
      <c r="Z21" s="9" t="s">
        <v>87</v>
      </c>
      <c r="AA21" s="68" t="s">
        <v>151</v>
      </c>
      <c r="AB21" s="130"/>
      <c r="AC21" s="130"/>
    </row>
    <row r="22">
      <c r="A22" s="56">
        <v>13.0</v>
      </c>
      <c r="B22" s="56" t="s">
        <v>148</v>
      </c>
      <c r="C22" s="68" t="s">
        <v>112</v>
      </c>
      <c r="D22" s="46">
        <v>80.0</v>
      </c>
      <c r="E22" s="174">
        <v>21.0</v>
      </c>
      <c r="F22" s="9" t="str">
        <f t="shared" si="1"/>
        <v>TH</v>
      </c>
      <c r="G22" s="7" t="str">
        <f t="shared" si="2"/>
        <v>MAJ80-B-21-TH</v>
      </c>
      <c r="H22" s="68" t="s">
        <v>149</v>
      </c>
      <c r="I22" s="174" t="s">
        <v>303</v>
      </c>
      <c r="J22" s="51" t="s">
        <v>356</v>
      </c>
      <c r="K22" s="176">
        <v>384.0</v>
      </c>
      <c r="L22" s="10" t="s">
        <v>461</v>
      </c>
      <c r="M22" s="62" t="s">
        <v>296</v>
      </c>
      <c r="N22" s="142">
        <v>3.0</v>
      </c>
      <c r="O22" s="46">
        <v>5.0</v>
      </c>
      <c r="P22" s="16" t="s">
        <v>152</v>
      </c>
      <c r="Q22" s="130"/>
      <c r="R22" s="16" t="s">
        <v>297</v>
      </c>
      <c r="S22" s="130"/>
      <c r="T22" s="80"/>
      <c r="U22" s="80"/>
      <c r="V22" s="170"/>
      <c r="W22" s="130"/>
      <c r="X22" s="175" t="s">
        <v>150</v>
      </c>
      <c r="Y22" s="60" t="s">
        <v>86</v>
      </c>
      <c r="Z22" s="9" t="s">
        <v>87</v>
      </c>
      <c r="AA22" s="68" t="s">
        <v>151</v>
      </c>
      <c r="AB22" s="130"/>
      <c r="AC22" s="130"/>
    </row>
    <row r="23">
      <c r="A23" s="56">
        <v>13.0</v>
      </c>
      <c r="B23" s="56" t="s">
        <v>148</v>
      </c>
      <c r="C23" s="68" t="s">
        <v>112</v>
      </c>
      <c r="D23" s="46">
        <v>80.0</v>
      </c>
      <c r="E23" s="174">
        <v>22.0</v>
      </c>
      <c r="F23" s="9" t="str">
        <f t="shared" si="1"/>
        <v>TH</v>
      </c>
      <c r="G23" s="7" t="str">
        <f t="shared" si="2"/>
        <v>MAJ80-B-22-TH</v>
      </c>
      <c r="H23" s="68" t="s">
        <v>149</v>
      </c>
      <c r="I23" s="174" t="s">
        <v>303</v>
      </c>
      <c r="J23" s="51" t="s">
        <v>356</v>
      </c>
      <c r="K23" s="176">
        <v>384.0</v>
      </c>
      <c r="L23" s="10" t="s">
        <v>461</v>
      </c>
      <c r="M23" s="62" t="s">
        <v>296</v>
      </c>
      <c r="N23" s="142">
        <v>3.0</v>
      </c>
      <c r="O23" s="46">
        <v>5.0</v>
      </c>
      <c r="P23" s="16" t="s">
        <v>152</v>
      </c>
      <c r="Q23" s="130"/>
      <c r="R23" s="16" t="s">
        <v>297</v>
      </c>
      <c r="S23" s="130"/>
      <c r="T23" s="80"/>
      <c r="U23" s="80"/>
      <c r="V23" s="170"/>
      <c r="W23" s="130"/>
      <c r="X23" s="175" t="s">
        <v>150</v>
      </c>
      <c r="Y23" s="60" t="s">
        <v>86</v>
      </c>
      <c r="Z23" s="9" t="s">
        <v>87</v>
      </c>
      <c r="AA23" s="68" t="s">
        <v>151</v>
      </c>
      <c r="AB23" s="130"/>
      <c r="AC23" s="130"/>
    </row>
    <row r="24">
      <c r="A24" s="56">
        <v>13.0</v>
      </c>
      <c r="B24" s="56" t="s">
        <v>148</v>
      </c>
      <c r="C24" s="68" t="s">
        <v>112</v>
      </c>
      <c r="D24" s="46">
        <v>80.0</v>
      </c>
      <c r="E24" s="174">
        <v>23.0</v>
      </c>
      <c r="F24" s="9" t="str">
        <f t="shared" si="1"/>
        <v>TH</v>
      </c>
      <c r="G24" s="7" t="str">
        <f t="shared" si="2"/>
        <v>MAJ80-B-23-TH</v>
      </c>
      <c r="H24" s="68" t="s">
        <v>149</v>
      </c>
      <c r="I24" s="174" t="s">
        <v>303</v>
      </c>
      <c r="J24" s="51" t="s">
        <v>356</v>
      </c>
      <c r="K24" s="176">
        <v>384.0</v>
      </c>
      <c r="L24" s="10" t="s">
        <v>461</v>
      </c>
      <c r="M24" s="62" t="s">
        <v>296</v>
      </c>
      <c r="N24" s="142">
        <v>3.0</v>
      </c>
      <c r="O24" s="46">
        <v>5.0</v>
      </c>
      <c r="P24" s="16" t="s">
        <v>152</v>
      </c>
      <c r="Q24" s="130"/>
      <c r="R24" s="16" t="s">
        <v>297</v>
      </c>
      <c r="S24" s="130"/>
      <c r="T24" s="80"/>
      <c r="U24" s="80"/>
      <c r="V24" s="170"/>
      <c r="W24" s="130"/>
      <c r="X24" s="175" t="s">
        <v>150</v>
      </c>
      <c r="Y24" s="60" t="s">
        <v>86</v>
      </c>
      <c r="Z24" s="9" t="s">
        <v>87</v>
      </c>
      <c r="AA24" s="68" t="s">
        <v>151</v>
      </c>
      <c r="AB24" s="130"/>
      <c r="AC24" s="130"/>
    </row>
    <row r="25">
      <c r="A25" s="56">
        <v>13.0</v>
      </c>
      <c r="B25" s="56" t="s">
        <v>148</v>
      </c>
      <c r="C25" s="68" t="s">
        <v>112</v>
      </c>
      <c r="D25" s="46">
        <v>80.0</v>
      </c>
      <c r="E25" s="174">
        <v>24.0</v>
      </c>
      <c r="F25" s="9" t="str">
        <f t="shared" si="1"/>
        <v>TH</v>
      </c>
      <c r="G25" s="7" t="str">
        <f t="shared" si="2"/>
        <v>MAJ80-B-24-TH</v>
      </c>
      <c r="H25" s="68" t="s">
        <v>149</v>
      </c>
      <c r="I25" s="174" t="s">
        <v>303</v>
      </c>
      <c r="J25" s="51" t="s">
        <v>356</v>
      </c>
      <c r="K25" s="176">
        <v>384.0</v>
      </c>
      <c r="L25" s="10" t="s">
        <v>461</v>
      </c>
      <c r="M25" s="62" t="s">
        <v>296</v>
      </c>
      <c r="N25" s="142">
        <v>3.0</v>
      </c>
      <c r="O25" s="46">
        <v>5.0</v>
      </c>
      <c r="P25" s="16" t="s">
        <v>152</v>
      </c>
      <c r="Q25" s="130"/>
      <c r="R25" s="16" t="s">
        <v>297</v>
      </c>
      <c r="S25" s="130"/>
      <c r="T25" s="80"/>
      <c r="U25" s="80"/>
      <c r="V25" s="170"/>
      <c r="W25" s="130"/>
      <c r="X25" s="175" t="s">
        <v>150</v>
      </c>
      <c r="Y25" s="60" t="s">
        <v>86</v>
      </c>
      <c r="Z25" s="9" t="s">
        <v>87</v>
      </c>
      <c r="AA25" s="68" t="s">
        <v>151</v>
      </c>
      <c r="AB25" s="130"/>
      <c r="AC25" s="130"/>
    </row>
  </sheetData>
  <dataValidations>
    <dataValidation type="list" allowBlank="1" showErrorMessage="1" sqref="M2:M25">
      <formula1>"تحت الإنشاء,متاحة,مباعة,محجوزة"</formula1>
    </dataValidation>
    <dataValidation type="list" allowBlank="1" showErrorMessage="1" sqref="P2:P25">
      <formula1>"صالة جلوس,مجلس,غرفة سائق,صالة طعام,غرفة خادمة,بلكونة,فناء خارجي,غرفة خدمات,غرفة غسيل"</formula1>
    </dataValidation>
    <dataValidation type="list" allowBlank="1" showErrorMessage="1" sqref="R2:R25">
      <formula1>"مؤسس,لا يوجد,جاهز"</formula1>
    </dataValidation>
    <dataValidation type="list" allowBlank="1" showErrorMessage="1" sqref="S2:S25">
      <formula1>"ارضي,اول,ثاني,ثالث"</formula1>
    </dataValidation>
    <dataValidation type="list" allowBlank="1" showErrorMessage="1" sqref="W2:W25">
      <formula1>"زاوية,واجهة"</formula1>
    </dataValidation>
  </dataValidations>
  <hyperlinks>
    <hyperlink r:id="rId1" ref="X2"/>
    <hyperlink r:id="rId2" ref="X3"/>
    <hyperlink r:id="rId3" ref="X4"/>
    <hyperlink r:id="rId4" ref="X5"/>
    <hyperlink r:id="rId5" ref="X6"/>
    <hyperlink r:id="rId6" ref="X7"/>
    <hyperlink r:id="rId7" ref="X8"/>
    <hyperlink r:id="rId8" ref="X9"/>
    <hyperlink r:id="rId9" ref="X10"/>
    <hyperlink r:id="rId10" ref="X11"/>
    <hyperlink r:id="rId11" ref="X12"/>
    <hyperlink r:id="rId12" ref="X13"/>
    <hyperlink r:id="rId13" ref="X14"/>
    <hyperlink r:id="rId14" ref="X15"/>
    <hyperlink r:id="rId15" ref="X16"/>
    <hyperlink r:id="rId16" ref="X17"/>
    <hyperlink r:id="rId17" ref="X18"/>
    <hyperlink r:id="rId18" ref="X19"/>
    <hyperlink r:id="rId19" ref="X20"/>
    <hyperlink r:id="rId20" ref="X21"/>
    <hyperlink r:id="rId21" ref="X22"/>
    <hyperlink r:id="rId22" ref="X23"/>
    <hyperlink r:id="rId23" ref="X24"/>
    <hyperlink r:id="rId24" ref="X25"/>
  </hyperlinks>
  <drawing r:id="rId2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5" t="s">
        <v>17</v>
      </c>
      <c r="N1" s="6" t="s">
        <v>18</v>
      </c>
      <c r="O1" s="6" t="s">
        <v>19</v>
      </c>
      <c r="P1" s="5" t="s">
        <v>43</v>
      </c>
      <c r="Q1" s="5" t="s">
        <v>21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5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5" t="s">
        <v>33</v>
      </c>
      <c r="AC1" s="5" t="s">
        <v>34</v>
      </c>
    </row>
    <row r="2">
      <c r="A2" s="7" t="s">
        <v>462</v>
      </c>
      <c r="B2" s="7">
        <v>14.0</v>
      </c>
      <c r="C2" s="8" t="s">
        <v>229</v>
      </c>
      <c r="D2" s="7"/>
      <c r="E2" s="7">
        <v>1011.0</v>
      </c>
      <c r="F2" s="9" t="str">
        <f t="shared" ref="F2:F3" si="1">IF(J2="دور","FL",
IF(J2="شقة","AP",
IF(J2="فيلا","VI",
IF(J2="تاون هاوس","TH",""))))
</f>
        <v>AP</v>
      </c>
      <c r="G2" s="7" t="str">
        <f t="shared" ref="G2:G3" si="2">B2&amp;"-"&amp;I2&amp;"-"&amp;E2&amp;"-"&amp;F2</f>
        <v>14-D-1011-AP</v>
      </c>
      <c r="H2" s="8" t="s">
        <v>230</v>
      </c>
      <c r="I2" s="7" t="s">
        <v>319</v>
      </c>
      <c r="J2" s="8" t="s">
        <v>301</v>
      </c>
      <c r="K2" s="7">
        <v>88.0</v>
      </c>
      <c r="L2" s="10">
        <v>530000.0</v>
      </c>
      <c r="M2" s="8" t="s">
        <v>296</v>
      </c>
      <c r="N2" s="131">
        <v>2.0</v>
      </c>
      <c r="O2" s="7">
        <v>2.0</v>
      </c>
      <c r="P2" s="12" t="s">
        <v>463</v>
      </c>
      <c r="Q2" s="11"/>
      <c r="R2" s="8"/>
      <c r="S2" s="7">
        <v>1.0</v>
      </c>
      <c r="T2" s="13"/>
      <c r="U2" s="14"/>
      <c r="V2" s="15"/>
      <c r="W2" s="16"/>
      <c r="X2" s="17"/>
      <c r="Y2" s="8" t="s">
        <v>364</v>
      </c>
      <c r="Z2" s="8" t="s">
        <v>87</v>
      </c>
      <c r="AA2" s="12" t="s">
        <v>233</v>
      </c>
      <c r="AB2" s="17"/>
      <c r="AC2" s="17"/>
    </row>
    <row r="3">
      <c r="A3" s="7" t="s">
        <v>462</v>
      </c>
      <c r="B3" s="7">
        <v>14.0</v>
      </c>
      <c r="C3" s="8" t="s">
        <v>229</v>
      </c>
      <c r="D3" s="7"/>
      <c r="E3" s="7">
        <v>1012.0</v>
      </c>
      <c r="F3" s="9" t="str">
        <f t="shared" si="1"/>
        <v>AP</v>
      </c>
      <c r="G3" s="7" t="str">
        <f t="shared" si="2"/>
        <v>14-F-1012-AP</v>
      </c>
      <c r="H3" s="8" t="s">
        <v>230</v>
      </c>
      <c r="I3" s="7" t="s">
        <v>414</v>
      </c>
      <c r="J3" s="8" t="s">
        <v>301</v>
      </c>
      <c r="K3" s="7">
        <v>68.0</v>
      </c>
      <c r="L3" s="10">
        <v>475000.0</v>
      </c>
      <c r="M3" s="8" t="s">
        <v>296</v>
      </c>
      <c r="N3" s="131">
        <v>1.0</v>
      </c>
      <c r="O3" s="7">
        <v>1.0</v>
      </c>
      <c r="P3" s="12" t="s">
        <v>415</v>
      </c>
      <c r="Q3" s="11"/>
      <c r="R3" s="8"/>
      <c r="S3" s="7">
        <v>1.0</v>
      </c>
      <c r="T3" s="13"/>
      <c r="U3" s="14"/>
      <c r="V3" s="15"/>
      <c r="W3" s="16"/>
      <c r="X3" s="17"/>
      <c r="Y3" s="8" t="s">
        <v>364</v>
      </c>
      <c r="Z3" s="8" t="s">
        <v>87</v>
      </c>
      <c r="AA3" s="12" t="s">
        <v>233</v>
      </c>
      <c r="AB3" s="17"/>
      <c r="AC3" s="17"/>
    </row>
  </sheetData>
  <dataValidations>
    <dataValidation type="list" allowBlank="1" showErrorMessage="1" sqref="S2:S3">
      <formula1>"ارضي,اول,ثاني,ثالث,1,2,3,4,5,6,7,8,9,10,11,12,13,14,15,16,17,18,19,20,21,22,23,24,25,26,27,28,29,30"</formula1>
    </dataValidation>
    <dataValidation type="list" allowBlank="1" showErrorMessage="1" sqref="J2:J3">
      <formula1>"دور,تاون هاوس,فيلا,شقة"</formula1>
    </dataValidation>
    <dataValidation type="list" allowBlank="1" showErrorMessage="1" sqref="M2:M3">
      <formula1>"تحت الإنشاء,متاحة,مباعة,محجوزة"</formula1>
    </dataValidation>
    <dataValidation type="list" allowBlank="1" showErrorMessage="1" sqref="P2:P3">
      <formula1>"صالة جلوس,مجلس,غرفة سائق,صالة طعام,غرفة خادمة,بلكونة,غرفة خدمات,فناء خارجي,غرفة غسيل,مطبخ"</formula1>
    </dataValidation>
    <dataValidation type="list" allowBlank="1" showErrorMessage="1" sqref="R2:R3">
      <formula1>"مؤسس,لا يوجد,جاهز"</formula1>
    </dataValidation>
    <dataValidation type="list" allowBlank="1" showErrorMessage="1" sqref="W2:W3">
      <formula1>"زاوية,واجهة"</formula1>
    </dataValidation>
    <dataValidation type="list" allowBlank="1" showErrorMessage="1" sqref="I2:I3">
      <formula1>"A,B,C,D,E,F,G"</formula1>
    </dataValidation>
  </dataValidations>
  <drawing r:id="rId1"/>
</worksheet>
</file>